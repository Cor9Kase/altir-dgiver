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commentsmeta4"/>
  <Override ContentType="application/binary" PartName="/xl/commentsmeta5"/>
  <Override ContentType="application/binary" PartName="/xl/commentsmeta2"/>
  <Override ContentType="application/binary" PartName="/xl/metadata"/>
  <Override ContentType="application/binary" PartName="/xl/commentsmeta3"/>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tod &amp; intro" sheetId="1" r:id="rId4"/>
    <sheet state="visible" name="Resultat - M-tek" sheetId="2" r:id="rId5"/>
    <sheet state="visible" name="Ark2" sheetId="3" r:id="rId6"/>
    <sheet state="visible" name="Base case- rivet bad gjenbruk" sheetId="4" r:id="rId7"/>
    <sheet state="visible" name="Base case- rivet bad" sheetId="5" r:id="rId8"/>
    <sheet state="visible" name="M-TEK manipulated" sheetId="6" r:id="rId9"/>
    <sheet state="visible" name="Transport manipulated" sheetId="7" r:id="rId10"/>
    <sheet state="visible" name="Resultat - M-tek (t-km)" sheetId="8" r:id="rId11"/>
    <sheet state="visible" name="EPD data" sheetId="9" r:id="rId12"/>
    <sheet state="visible" name="EPD overview" sheetId="10" r:id="rId13"/>
    <sheet state="visible" name="Uppdaterade vekter THOMAS ENDRE" sheetId="11" r:id="rId14"/>
    <sheet state="visible" name="M-TETT original" sheetId="12" r:id="rId15"/>
    <sheet state="visible" name="Datagrunnlag original" sheetId="13" r:id="rId16"/>
    <sheet state="visible" name="M-TEK original" sheetId="14" r:id="rId17"/>
    <sheet state="visible" name="Transport original" sheetId="15" r:id="rId18"/>
  </sheets>
  <definedNames/>
  <calcPr/>
  <extLst>
    <ext uri="GoogleSheetsCustomDataVersion2">
      <go:sheetsCustomData xmlns:go="http://customooxmlschemas.google.com/" r:id="rId19" roundtripDataChecksum="imKcBLl7TthKL8KA+Ew2xrDmoJc5EnGL+YfvuC6I6vU="/>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U13">
      <text>
        <t xml:space="preserve">======
ID#AAAB0MSxGHg
tc={4657B185-6372-47FE-BBF4-C2DE27083588}    (2026-02-12 11:59:58)
[Kommentartråd]
Din versjon av Excel lar deg lese denne kommentartråden. Eventuelle endringer i den vil imidlertid bli fjernet hvis filen åpnes i en nyere versjon av Excel. Finn ut mer: https://go.microsoft.com/fwlink/?linkid=870924
Kommentar:
    Old EPD (2018)</t>
      </text>
    </comment>
    <comment authorId="0" ref="T23">
      <text>
        <t xml:space="preserve">======
ID#AAAB0MSxGGE
tc={B2C2013E-779C-41D3-85E3-F17249D0312F}    (2026-02-12 11:59:58)
[Kommentartråd]
Din versjon av Excel lar deg lese denne kommentartråden. Eventuelle endringer i den vil imidlertid bli fjernet hvis filen åpnes i en nyere versjon av Excel. Finn ut mer: https://go.microsoft.com/fwlink/?linkid=870924
Kommentar:
    I Group folder
Svar:
    Låg i EPD alt 2 originally</t>
      </text>
    </comment>
    <comment authorId="0" ref="D33">
      <text>
        <t xml:space="preserve">======
ID#AAAB0MSxGFM
tc={54C94C23-5BEE-42B9-9944-68E8F8B47A35}    (2026-02-12 11:59:58)
[Kommentartråd]
Din versjon av Excel lar deg lese denne kommentartråden. Eventuelle endringer i den vil imidlertid bli fjernet hvis filen åpnes i en nyere versjon av Excel. Finn ut mer: https://go.microsoft.com/fwlink/?linkid=870924
Kommentar:
    Note: weight independent on m2</t>
      </text>
    </comment>
    <comment authorId="0" ref="T30">
      <text>
        <t xml:space="preserve">======
ID#AAAB0MSxGEw
tc={29B924E3-E0CB-4CAA-809C-1605E10A6803}    (2026-02-12 11:59:58)
[Kommentartråd]
Din versjon av Excel lar deg lese denne kommentartråden. Eventuelle endringer i den vil imidlertid bli fjernet hvis filen åpnes i en nyere versjon av Excel. Finn ut mer: https://go.microsoft.com/fwlink/?linkid=870924
Kommentar:
    Har ej fått EPD på denna, estimera genom annan produkt</t>
      </text>
    </comment>
    <comment authorId="0" ref="T17">
      <text>
        <t xml:space="preserve">======
ID#AAAB0MSxGEo
tc={CC25647F-B102-44B3-BFAD-2BE595AB64C3}    (2026-02-12 11:59:58)
[Kommentartråd]
Din versjon av Excel lar deg lese denne kommentartråden. Eventuelle endringer i den vil imidlertid bli fjernet hvis filen åpnes i en nyere versjon av Excel. Finn ut mer: https://go.microsoft.com/fwlink/?linkid=870924
Kommentar:
    Denna inkluderar ikke utslippsdata, här får vi estimera utsläppen baserat på en annan plast-produkt /Nike</t>
      </text>
    </comment>
    <comment authorId="0" ref="T13">
      <text>
        <t xml:space="preserve">======
ID#AAAB0MSxGEU
tc={5D826F75-DAA0-458E-B1C2-812B485E8782}    (2026-02-12 11:59:58)
[Kommentartråd]
Din versjon av Excel lar deg lese denne kommentartråden. Eventuelle endringer i den vil imidlertid bli fjernet hvis filen åpnes i en nyere versjon av Excel. Finn ut mer: https://go.microsoft.com/fwlink/?linkid=870924
Kommentar:
    Old EPD (2018)</t>
      </text>
    </comment>
    <comment authorId="0" ref="T24">
      <text>
        <t xml:space="preserve">======
ID#AAAB0MSxGEQ
tc={857D58FC-393B-4484-B8F2-12C7091C9E6A}    (2026-02-12 11:59:58)
[Kommentartråd]
Din versjon av Excel lar deg lese denne kommentartråden. Eventuelle endringer i den vil imidlertid bli fjernet hvis filen åpnes i en nyere versjon av Excel. Finn ut mer: https://go.microsoft.com/fwlink/?linkid=870924
Kommentar:
    I Group folder
Svar:
    Låg i EPD alt 3 originally</t>
      </text>
    </comment>
    <comment authorId="0" ref="N6">
      <text>
        <t xml:space="preserve">======
ID#AAAB0MSxGDM
tc={E4C30E56-BBBC-4F9B-AC4F-55C29D85E498}    (2026-02-12 11:59:58)
[Kommentartråd]
Din versjon av Excel lar deg lese denne kommentartråden. Eventuelle endringer i den vil imidlertid bli fjernet hvis filen åpnes i en nyere versjon av Excel. Finn ut mer: https://go.microsoft.com/fwlink/?linkid=870924
Kommentar:
    A1-A3 för de material där A4 ej deklarerats i EPD</t>
      </text>
    </comment>
    <comment authorId="0" ref="C27">
      <text>
        <t xml:space="preserve">======
ID#AAAB0MSxGDI
tc={EC717888-F0DF-4397-A360-249EDF079404}    (2026-02-12 11:59:58)
[Kommentartråd]
Din versjon av Excel lar deg lese denne kommentartråden. Eventuelle endringer i den vil imidlertid bli fjernet hvis filen åpnes i en nyere versjon av Excel. Finn ut mer: https://go.microsoft.com/fwlink/?linkid=870924
Kommentar:
    Redigert 2024-05-10 efter uppdaterad information från M-tett</t>
      </text>
    </comment>
    <comment authorId="0" ref="C13">
      <text>
        <t xml:space="preserve">======
ID#AAAB0MSxGC4
tc={B856EDBD-A0FD-4C90-BA5C-44BDDE07D883}    (2026-02-12 11:59:58)
[Kommentartråd]
Din versjon av Excel lar deg lese denne kommentartråden. Eventuelle endringer i den vil imidlertid bli fjernet hvis filen åpnes i en nyere versjon av Excel. Finn ut mer: https://go.microsoft.com/fwlink/?linkid=870924
Kommentar:
    Redigert 2024-05-10 efter uppdaterad information från M-tett</t>
      </text>
    </comment>
    <comment authorId="0" ref="T22">
      <text>
        <t xml:space="preserve">======
ID#AAAB0MSxGC0
tc={F21F1292-1F04-491E-A19D-E8982B2913A1}    (2026-02-12 11:59:58)
[Kommentartråd]
Din versjon av Excel lar deg lese denne kommentartråden. Eventuelle endringer i den vil imidlertid bli fjernet hvis filen åpnes i en nyere versjon av Excel. Finn ut mer: https://go.microsoft.com/fwlink/?linkid=870924
Kommentar:
    I Group folder
Svar:
    Låg i EPD alt originally</t>
      </text>
    </comment>
  </commentList>
  <extLst>
    <ext uri="GoogleSheetsCustomDataVersion2">
      <go:sheetsCustomData xmlns:go="http://customooxmlschemas.google.com/" r:id="rId1" roundtripDataSignature="AMtx7miZufXfGBiTwYFPGsRzpnaL25BmJw=="/>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T30">
      <text>
        <t xml:space="preserve">======
ID#AAAB0MSxGHc
tc={CB5867BB-B88C-443C-9846-D9860C8BE3A7}    (2026-02-12 11:59:58)
[Kommentartråd]
Din versjon av Excel lar deg lese denne kommentartråden. Eventuelle endringer i den vil imidlertid bli fjernet hvis filen åpnes i en nyere versjon av Excel. Finn ut mer: https://go.microsoft.com/fwlink/?linkid=870924
Kommentar:
    Har ej fått EPD på denna, estimera genom annan produkt</t>
      </text>
    </comment>
    <comment authorId="0" ref="T17">
      <text>
        <t xml:space="preserve">======
ID#AAAB0MSxGHA
tc={3ED00609-880D-4475-9BE5-574C99534B1D}    (2026-02-12 11:59:58)
[Kommentartråd]
Din versjon av Excel lar deg lese denne kommentartråden. Eventuelle endringer i den vil imidlertid bli fjernet hvis filen åpnes i en nyere versjon av Excel. Finn ut mer: https://go.microsoft.com/fwlink/?linkid=870924
Kommentar:
    Denna inkluderar ikke utslippsdata, här får vi estimera utsläppen baserat på en annan plast-produkt /Nike</t>
      </text>
    </comment>
    <comment authorId="0" ref="T24">
      <text>
        <t xml:space="preserve">======
ID#AAAB0MSxGGw
tc={7B2538F6-821F-4DAD-81CC-073E663F716E}    (2026-02-12 11:59:58)
[Kommentartråd]
Din versjon av Excel lar deg lese denne kommentartråden. Eventuelle endringer i den vil imidlertid bli fjernet hvis filen åpnes i en nyere versjon av Excel. Finn ut mer: https://go.microsoft.com/fwlink/?linkid=870924
Kommentar:
    I Group folder
Svar:
    Låg i EPD alt 3 originally</t>
      </text>
    </comment>
    <comment authorId="0" ref="T13">
      <text>
        <t xml:space="preserve">======
ID#AAAB0MSxGGs
tc={D109AE35-7E7A-44AD-90AF-DFF459CD5CDD}    (2026-02-12 11:59:58)
[Kommentartråd]
Din versjon av Excel lar deg lese denne kommentartråden. Eventuelle endringer i den vil imidlertid bli fjernet hvis filen åpnes i en nyere versjon av Excel. Finn ut mer: https://go.microsoft.com/fwlink/?linkid=870924
Kommentar:
    Old EPD (2018)</t>
      </text>
    </comment>
    <comment authorId="0" ref="T23">
      <text>
        <t xml:space="preserve">======
ID#AAAB0MSxGGA
tc={D1D60DD2-5B9C-4498-B312-A8901389ADB3}    (2026-02-12 11:59:58)
[Kommentartråd]
Din versjon av Excel lar deg lese denne kommentartråden. Eventuelle endringer i den vil imidlertid bli fjernet hvis filen åpnes i en nyere versjon av Excel. Finn ut mer: https://go.microsoft.com/fwlink/?linkid=870924
Kommentar:
    I Group folder
Svar:
    Låg i EPD alt 2 originally</t>
      </text>
    </comment>
    <comment authorId="0" ref="C27">
      <text>
        <t xml:space="preserve">======
ID#AAAB0MSxGF4
tc={3320D0E5-8919-4488-89F6-F1F96C998726}    (2026-02-12 11:59:58)
[Kommentartråd]
Din versjon av Excel lar deg lese denne kommentartråden. Eventuelle endringer i den vil imidlertid bli fjernet hvis filen åpnes i en nyere versjon av Excel. Finn ut mer: https://go.microsoft.com/fwlink/?linkid=870924
Kommentar:
    Redigert 2024-05-10 efter uppdaterad information från M-tett</t>
      </text>
    </comment>
    <comment authorId="0" ref="C13">
      <text>
        <t xml:space="preserve">======
ID#AAAB0MSxGFQ
tc={357E7CCE-DBAE-4975-8287-648F0BD6705F}    (2026-02-12 11:59:58)
[Kommentartråd]
Din versjon av Excel lar deg lese denne kommentartråden. Eventuelle endringer i den vil imidlertid bli fjernet hvis filen åpnes i en nyere versjon av Excel. Finn ut mer: https://go.microsoft.com/fwlink/?linkid=870924
Kommentar:
    Redigert 2024-05-10 efter uppdaterad information från M-tett</t>
      </text>
    </comment>
    <comment authorId="0" ref="D33">
      <text>
        <t xml:space="preserve">======
ID#AAAB0MSxGEg
tc={E7F9387B-C8E4-402A-B223-4D0E48661AE6}    (2026-02-12 11:59:58)
[Kommentartråd]
Din versjon av Excel lar deg lese denne kommentartråden. Eventuelle endringer i den vil imidlertid bli fjernet hvis filen åpnes i en nyere versjon av Excel. Finn ut mer: https://go.microsoft.com/fwlink/?linkid=870924
Kommentar:
    Note: weight independent on m2</t>
      </text>
    </comment>
    <comment authorId="0" ref="U13">
      <text>
        <t xml:space="preserve">======
ID#AAAB0MSxGEA
tc={BB040754-450F-4A8B-9BF3-A6D5DAB480B0}    (2026-02-12 11:59:58)
[Kommentartråd]
Din versjon av Excel lar deg lese denne kommentartråden. Eventuelle endringer i den vil imidlertid bli fjernet hvis filen åpnes i en nyere versjon av Excel. Finn ut mer: https://go.microsoft.com/fwlink/?linkid=870924
Kommentar:
    Old EPD (2018)</t>
      </text>
    </comment>
    <comment authorId="0" ref="N6">
      <text>
        <t xml:space="preserve">======
ID#AAAB0MSxGDg
tc={F5604971-628B-4C45-9468-1058DE59949A}    (2026-02-12 11:59:58)
[Kommentartråd]
Din versjon av Excel lar deg lese denne kommentartråden. Eventuelle endringer i den vil imidlertid bli fjernet hvis filen åpnes i en nyere versjon av Excel. Finn ut mer: https://go.microsoft.com/fwlink/?linkid=870924
Kommentar:
    A1-A3 för de material där A4 ej deklarerats i EPD</t>
      </text>
    </comment>
    <comment authorId="0" ref="T22">
      <text>
        <t xml:space="preserve">======
ID#AAAB0MSxGDE
tc={F4EA073C-3045-490C-940B-A5322CC2A3A7}    (2026-02-12 11:59:58)
[Kommentartråd]
Din versjon av Excel lar deg lese denne kommentartråden. Eventuelle endringer i den vil imidlertid bli fjernet hvis filen åpnes i en nyere versjon av Excel. Finn ut mer: https://go.microsoft.com/fwlink/?linkid=870924
Kommentar:
    I Group folder
Svar:
    Låg i EPD alt originally</t>
      </text>
    </comment>
  </commentList>
  <extLst>
    <ext uri="GoogleSheetsCustomDataVersion2">
      <go:sheetsCustomData xmlns:go="http://customooxmlschemas.google.com/" r:id="rId1" roundtripDataSignature="AMtx7mjSmauYFYmpqciPCLCgHrVpeJrzWw=="/>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M55">
      <text>
        <t xml:space="preserve">======
ID#AAAB0MSxGHM
tc={1C13F13C-D8E6-4724-BBC4-5290C143611E}    (2026-02-12 11:59:58)
[Kommentartråd]
Din versjon av Excel lar deg lese denne kommentartråden. Eventuelle endringer i den vil imidlertid bli fjernet hvis filen åpnes i en nyere versjon av Excel. Finn ut mer: https://go.microsoft.com/fwlink/?linkid=870924
Kommentar:
    A1-A3 för de material där A4 ej deklarerats i EPD</t>
      </text>
    </comment>
    <comment authorId="0" ref="K38">
      <text>
        <t xml:space="preserve">======
ID#AAAB0MSxGG4
tc={74482691-BC9D-4FD5-8BD0-ADE6251EF960}    (2026-02-12 11:59:58)
[Kommentartråd]
Din versjon av Excel lar deg lese denne kommentartråden. Eventuelle endringer i den vil imidlertid bli fjernet hvis filen åpnes i en nyere versjon av Excel. Finn ut mer: https://go.microsoft.com/fwlink/?linkid=870924
Kommentar:
    A1-A3 för de material där A4 ej deklarerats i EPD</t>
      </text>
    </comment>
    <comment authorId="0" ref="C39">
      <text>
        <t xml:space="preserve">======
ID#AAAB0MSxGG0
tc={5949D2BE-F241-476B-B1C7-3294654CB4FB}    (2026-02-12 11:59:58)
[Kommentartråd]
Din versjon av Excel lar deg lese denne kommentartråden. Eventuelle endringer i den vil imidlertid bli fjernet hvis filen åpnes i en nyere versjon av Excel. Finn ut mer: https://go.microsoft.com/fwlink/?linkid=870924
Kommentar:
    M-TEK ändrat: tidigare värde 1 kg</t>
      </text>
    </comment>
    <comment authorId="0" ref="D28">
      <text>
        <t xml:space="preserve">======
ID#AAAB0MSxGFs
tc={801082EF-8553-49FB-B667-6FA675715147}    (2026-02-12 11:59:58)
[Kommentartråd]
Din versjon av Excel lar deg lese denne kommentartråden. Eventuelle endringer i den vil imidlertid bli fjernet hvis filen åpnes i en nyere versjon av Excel. Finn ut mer: https://go.microsoft.com/fwlink/?linkid=870924
Kommentar:
    Ikke komplett vekt av rivet bad. Se M-tett.</t>
      </text>
    </comment>
    <comment authorId="0" ref="C40">
      <text>
        <t xml:space="preserve">======
ID#AAAB0MSxGFc
tc={29021F5D-0B4E-411E-A4B2-DC6DF8A2B8DB}    (2026-02-12 11:59:58)
[Kommentartråd]
Din versjon av Excel lar deg lese denne kommentartråden. Eventuelle endringer i den vil imidlertid bli fjernet hvis filen åpnes i en nyere versjon av Excel. Finn ut mer: https://go.microsoft.com/fwlink/?linkid=870924
Kommentar:
    M-TEK ändrat: tidigare värde 25 kg</t>
      </text>
    </comment>
    <comment authorId="0" ref="C60">
      <text>
        <t xml:space="preserve">======
ID#AAAB0MSxGE4
tc={92399188-08E8-4842-886C-3587B03BCD31}    (2026-02-12 11:59:58)
[Kommentartråd]
Din versjon av Excel lar deg lese denne kommentartråden. Eventuelle endringer i den vil imidlertid bli fjernet hvis filen åpnes i en nyere versjon av Excel. Finn ut mer: https://go.microsoft.com/fwlink/?linkid=870924
Kommentar:
    Redigert 2024-05-10 efter uppdaterad information från M-tett</t>
      </text>
    </comment>
    <comment authorId="0" ref="A58">
      <text>
        <t xml:space="preserve">======
ID#AAAB0MSxGEM
tc={AB71240F-3BB7-466E-9505-FC63B854849A}    (2026-02-12 11:59:58)
[Kommentartråd]
Din versjon av Excel lar deg lese denne kommentartråden. Eventuelle endringer i den vil imidlertid bli fjernet hvis filen åpnes i en nyere versjon av Excel. Finn ut mer: https://go.microsoft.com/fwlink/?linkid=870924
Kommentar:
    Stod först Sluk men antog samma som Sluk og slukrist</t>
      </text>
    </comment>
    <comment authorId="0" ref="C44">
      <text>
        <t xml:space="preserve">======
ID#AAAB0MSxGEI
tc={B37B3F70-F289-4376-AF8B-6CA117C257CC}    (2026-02-12 11:59:58)
[Kommentartråd]
Din versjon av Excel lar deg lese denne kommentartråden. Eventuelle endringer i den vil imidlertid bli fjernet hvis filen åpnes i en nyere versjon av Excel. Finn ut mer: https://go.microsoft.com/fwlink/?linkid=870924
Kommentar:
    M-TEK ändrat: tidigare värde 0.5 kg</t>
      </text>
    </comment>
    <comment authorId="0" ref="C42">
      <text>
        <t xml:space="preserve">======
ID#AAAB0MSxGEE
tc={4710D9E6-FCC5-4D45-8A73-E13F552EEA38}    (2026-02-12 11:59:58)
[Kommentartråd]
Din versjon av Excel lar deg lese denne kommentartråden. Eventuelle endringer i den vil imidlertid bli fjernet hvis filen åpnes i en nyere versjon av Excel. Finn ut mer: https://go.microsoft.com/fwlink/?linkid=870924
Kommentar:
    M-TEK ändrat: tidigare värde 25 kg</t>
      </text>
    </comment>
    <comment authorId="0" ref="D56">
      <text>
        <t xml:space="preserve">======
ID#AAAB0MSxGC8
tc={5B9E7885-1A83-4191-849F-05D88556E8A3}    (2026-02-12 11:59:58)
[Kommentartråd]
Din versjon av Excel lar deg lese denne kommentartråden. Eventuelle endringer i den vil imidlertid bli fjernet hvis filen åpnes i en nyere versjon av Excel. Finn ut mer: https://go.microsoft.com/fwlink/?linkid=870924
Kommentar:
    Denna vekt inkluderade från början Smöremembran och mansjetter?</t>
      </text>
    </comment>
  </commentList>
  <extLst>
    <ext uri="GoogleSheetsCustomDataVersion2">
      <go:sheetsCustomData xmlns:go="http://customooxmlschemas.google.com/" r:id="rId1" roundtripDataSignature="AMtx7mjdJ9wm9eUCAZs0tYKS0zqW40PqLA=="/>
    </ext>
  </extL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M5">
      <text>
        <t xml:space="preserve">======
ID#AAAB0MSxGHY
tc={6B95D398-0A34-427C-8DFF-DD9F5F355772}    (2026-02-12 11:59:58)
[Kommentartråd]
Din versjon av Excel lar deg lese denne kommentartråden. Eventuelle endringer i den vil imidlertid bli fjernet hvis filen åpnes i en nyere versjon av Excel. Finn ut mer: https://go.microsoft.com/fwlink/?linkid=870924
Kommentar:
    GWP-IOBC
Svar:
    Energigjenvinning</t>
      </text>
    </comment>
    <comment authorId="0" ref="H3">
      <text>
        <t xml:space="preserve">======
ID#AAAB0MSxGHU
tc={845C19BA-30DE-4D79-B636-F6B2E59C4DAF}    (2026-02-12 11:59:58)
[Kommentartråd]
Din versjon av Excel lar deg lese denne kommentartråden. Eventuelle endringer i den vil imidlertid bli fjernet hvis filen åpnes i en nyere versjon av Excel. Finn ut mer: https://go.microsoft.com/fwlink/?linkid=870924
Kommentar:
    Includes packaging</t>
      </text>
    </comment>
    <comment authorId="0" ref="B30">
      <text>
        <t xml:space="preserve">======
ID#AAAB0MSxGHQ
tc={19074BD5-F741-428F-B0B1-51A1AEFF3E47}    (2026-02-12 11:59:58)
[Kommentartråd]
Din versjon av Excel lar deg lese denne kommentartråden. Eventuelle endringer i den vil imidlertid bli fjernet hvis filen åpnes i en nyere versjon av Excel. Finn ut mer: https://go.microsoft.com/fwlink/?linkid=870924
Kommentar:
    I Group folder
Svar:
    Låg i EPD alt 2 originally</t>
      </text>
    </comment>
    <comment authorId="0" ref="B29">
      <text>
        <t xml:space="preserve">======
ID#AAAB0MSxGG8
tc={E2213401-1DE6-4D3A-8C90-0B9867EAD0A8}    (2026-02-12 11:59:58)
[Kommentartråd]
Din versjon av Excel lar deg lese denne kommentartråden. Eventuelle endringer i den vil imidlertid bli fjernet hvis filen åpnes i en nyere versjon av Excel. Finn ut mer: https://go.microsoft.com/fwlink/?linkid=870924
Kommentar:
    I Group folder
Svar:
    Låg i EPD alt originally</t>
      </text>
    </comment>
    <comment authorId="0" ref="B11">
      <text>
        <t xml:space="preserve">======
ID#AAAB0MSxGGg
tc={89B3C29E-8342-4DCB-BF27-6B37A3A3E206}    (2026-02-12 11:59:58)
[Kommentartråd]
Din versjon av Excel lar deg lese denne kommentartråden. Eventuelle endringer i den vil imidlertid bli fjernet hvis filen åpnes i en nyere versjon av Excel. Finn ut mer: https://go.microsoft.com/fwlink/?linkid=870924
Kommentar:
    Old EPD (2018)</t>
      </text>
    </comment>
    <comment authorId="0" ref="F4">
      <text>
        <t xml:space="preserve">======
ID#AAAB0MSxGGc
tc={3243758B-9B4A-48F7-9510-38EF22A6F3D6}    (2026-02-12 11:59:58)
[Kommentartråd]
Din versjon av Excel lar deg lese denne kommentartråden. Eventuelle endringer i den vil imidlertid bli fjernet hvis filen åpnes i en nyere versjon av Excel. Finn ut mer: https://go.microsoft.com/fwlink/?linkid=870924
Kommentar:
    Densitet enligt EPD: 630-700 kg/m3 baserat på tjocklek. Jag valde att ta ett average här.</t>
      </text>
    </comment>
    <comment authorId="0" ref="J3">
      <text>
        <t xml:space="preserve">======
ID#AAAB0MSxGGY
tc={4F0F662D-B6AC-489B-88F7-366845989D18}    (2026-02-12 11:59:58)
[Kommentartråd]
Din versjon av Excel lar deg lese denne kommentartråden. Eventuelle endringer i den vil imidlertid bli fjernet hvis filen åpnes i en nyere versjon av Excel. Finn ut mer: https://go.microsoft.com/fwlink/?linkid=870924
Kommentar:
    Either GWP-IOBC or GWP Fossil has been chosen for all EPDs</t>
      </text>
    </comment>
    <comment authorId="0" ref="M12">
      <text>
        <t xml:space="preserve">======
ID#AAAB0MSxGGU
tc={66084B88-384C-4DE2-9C63-5410CDB3F131}    (2026-02-12 11:59:58)
[Kommentartråd]
Din versjon av Excel lar deg lese denne kommentartråden. Eventuelle endringer i den vil imidlertid bli fjernet hvis filen åpnes i en nyere versjon av Excel. Finn ut mer: https://go.microsoft.com/fwlink/?linkid=870924
Kommentar:
    Energigjenvinning+landfill</t>
      </text>
    </comment>
    <comment authorId="0" ref="M14">
      <text>
        <t xml:space="preserve">======
ID#AAAB0MSxGGM
tc={D423023D-53CA-492C-8064-766A91912D05}    (2026-02-12 11:59:58)
[Kommentartråd]
Din versjon av Excel lar deg lese denne kommentartråden. Eventuelle endringer i den vil imidlertid bli fjernet hvis filen åpnes i en nyere versjon av Excel. Finn ut mer: https://go.microsoft.com/fwlink/?linkid=870924
Kommentar:
    Recycling</t>
      </text>
    </comment>
    <comment authorId="0" ref="M3">
      <text>
        <t xml:space="preserve">======
ID#AAAB0MSxGF8
tc={41CFCDFC-B68C-42FF-9A8B-278697C825C6}    (2026-02-12 11:59:58)
[Kommentartråd]
Din versjon av Excel lar deg lese denne kommentartråden. Eventuelle endringer i den vil imidlertid bli fjernet hvis filen åpnes i en nyere versjon av Excel. Finn ut mer: https://go.microsoft.com/fwlink/?linkid=870924
Kommentar:
    Livscykelsteg D (gjenvinningspotential) har exkluderats (negativa utsläpp)</t>
      </text>
    </comment>
    <comment authorId="0" ref="M4">
      <text>
        <t xml:space="preserve">======
ID#AAAB0MSxGFw
tc={27E1E163-1CA0-44BE-BFD8-D6AEB0B43F65}    (2026-02-12 11:59:58)
[Kommentartråd]
Din versjon av Excel lar deg lese denne kommentartråden. Eventuelle endringer i den vil imidlertid bli fjernet hvis filen åpnes i en nyere versjon av Excel. Finn ut mer: https://go.microsoft.com/fwlink/?linkid=870924
Kommentar:
    Inkluderar demontering, transport, avfallsbehandling + avfall till slutbehandling. Antas förbrännas (biogent). 
Svar:
    C3 varierar mellan GWP-IOBC och "vanlig" GWP. Är inte helt säker på vilken som bör brukas. Detta är GWP IOBC, för att vara konsekvent med vad vi brukar för A1-A4/Nike</t>
      </text>
    </comment>
    <comment authorId="0" ref="J8">
      <text>
        <t xml:space="preserve">======
ID#AAAB0MSxGFo
tc={6FE64069-B01A-4A43-B287-E37FA239F964}    (2026-02-12 11:59:58)
[Kommentartråd]
Din versjon av Excel lar deg lese denne kommentartråden. Eventuelle endringer i den vil imidlertid bli fjernet hvis filen åpnes i en nyere versjon av Excel. Finn ut mer: https://go.microsoft.com/fwlink/?linkid=870924
Kommentar:
    Without Guarantees of origin. P 16</t>
      </text>
    </comment>
    <comment authorId="0" ref="K15">
      <text>
        <t xml:space="preserve">======
ID#AAAB0MSxGFg
tc={43B3880F-F878-4106-9BD2-5871B1BC58D0}    (2026-02-12 11:59:58)
[Kommentartråd]
Din versjon av Excel lar deg lese denne kommentartråden. Eventuelle endringer i den vil imidlertid bli fjernet hvis filen åpnes i en nyere versjon av Excel. Finn ut mer: https://go.microsoft.com/fwlink/?linkid=870924
Kommentar:
    Not applicable - A4 &amp; C1-C4 not included due to no EPD</t>
      </text>
    </comment>
    <comment authorId="0" ref="B10">
      <text>
        <t xml:space="preserve">======
ID#AAAB0MSxGFU
tc={F6D80781-93C5-4768-91A0-1C3CC18B28D6}    (2026-02-12 11:59:58)
[Kommentartråd]
Din versjon av Excel lar deg lese denne kommentartråden. Eventuelle endringer i den vil imidlertid bli fjernet hvis filen åpnes i en nyere versjon av Excel. Finn ut mer: https://go.microsoft.com/fwlink/?linkid=870924
Kommentar:
    Old EPD (2018)</t>
      </text>
    </comment>
    <comment authorId="0" ref="M13">
      <text>
        <t xml:space="preserve">======
ID#AAAB0MSxGFA
tc={481CB3F7-3650-4802-B017-6BC35D4D081C}    (2026-02-12 11:59:58)
[Kommentartråd]
Din versjon av Excel lar deg lese denne kommentartråden. Eventuelle endringer i den vil imidlertid bli fjernet hvis filen åpnes i en nyere versjon av Excel. Finn ut mer: https://go.microsoft.com/fwlink/?linkid=870924
Kommentar:
    Energigjenvinning, materialgjenvinning+landfill</t>
      </text>
    </comment>
    <comment authorId="0" ref="M6">
      <text>
        <t xml:space="preserve">======
ID#AAAB0MSxGE8
tc={CFA850A2-31BA-468A-8D6F-1B0378DEB0F0}    (2026-02-12 11:59:58)
[Kommentartråd]
Din versjon av Excel lar deg lese denne kommentartråden. Eventuelle endringer i den vil imidlertid bli fjernet hvis filen åpnes i en nyere versjon av Excel. Finn ut mer: https://go.microsoft.com/fwlink/?linkid=870924
Kommentar:
    GWP IOBC, energigjenvinning</t>
      </text>
    </comment>
    <comment authorId="0" ref="N14">
      <text>
        <t xml:space="preserve">======
ID#AAAB0MSxGEk
tc={B3723DB0-E12F-45FF-B306-F7B5901DE14B}    (2026-02-12 11:59:58)
[Kommentartråd]
Din versjon av Excel lar deg lese denne kommentartråden. Eventuelle endringer i den vil imidlertid bli fjernet hvis filen åpnes i en nyere versjon av Excel. Finn ut mer: https://go.microsoft.com/fwlink/?linkid=870924
Kommentar:
    Landfill</t>
      </text>
    </comment>
    <comment authorId="0" ref="F3">
      <text>
        <t xml:space="preserve">======
ID#AAAB0MSxGEc
tc={12C0BE24-9E62-447A-87C5-C33DD505DC8E}    (2026-02-12 11:59:58)
[Kommentartråd]
Din versjon av Excel lar deg lese denne kommentartråden. Eventuelle endringer i den vil imidlertid bli fjernet hvis filen åpnes i en nyere versjon av Excel. Finn ut mer: https://go.microsoft.com/fwlink/?linkid=870924
Kommentar:
    Excludes packaging</t>
      </text>
    </comment>
    <comment authorId="0" ref="B31">
      <text>
        <t xml:space="preserve">======
ID#AAAB0MSxGEY
tc={380949D1-5FF1-469C-B72C-F05AE87C398B}    (2026-02-12 11:59:58)
[Kommentartråd]
Din versjon av Excel lar deg lese denne kommentartråden. Eventuelle endringer i den vil imidlertid bli fjernet hvis filen åpnes i en nyere versjon av Excel. Finn ut mer: https://go.microsoft.com/fwlink/?linkid=870924
Kommentar:
    I Group folder
Svar:
    Låg i EPD alt 3 originally</t>
      </text>
    </comment>
    <comment authorId="0" ref="M23">
      <text>
        <t xml:space="preserve">======
ID#AAAB0MSxGD8
tc={B389B6D9-DEB9-47AC-ACD5-CA29057CFB3C}    (2026-02-12 11:59:58)
[Kommentartråd]
Din versjon av Excel lar deg lese denne kommentartråden. Eventuelle endringer i den vil imidlertid bli fjernet hvis filen åpnes i en nyere versjon av Excel. Finn ut mer: https://go.microsoft.com/fwlink/?linkid=870924
Kommentar:
    recycling</t>
      </text>
    </comment>
    <comment authorId="0" ref="H24">
      <text>
        <t xml:space="preserve">======
ID#AAAB0MSxGD0
tc={3828210C-A7CA-4E8C-86EF-A5EC97BF4D85}    (2026-02-12 11:59:58)
[Kommentartråd]
Din versjon av Excel lar deg lese denne kommentartråden. Eventuelle endringer i den vil imidlertid bli fjernet hvis filen åpnes i en nyere versjon av Excel. Finn ut mer: https://go.microsoft.com/fwlink/?linkid=870924
Kommentar:
    Not sure if this includes packaging or not</t>
      </text>
    </comment>
    <comment authorId="0" ref="E23">
      <text>
        <t xml:space="preserve">======
ID#AAAB0MSxGDw
tc={C58EA1D9-565A-43C6-845F-C876391B7813}    (2026-02-12 11:59:58)
[Kommentartråd]
Din versjon av Excel lar deg lese denne kommentartråden. Eventuelle endringer i den vil imidlertid bli fjernet hvis filen åpnes i en nyere versjon av Excel. Finn ut mer: https://go.microsoft.com/fwlink/?linkid=870924
Kommentar:
    Note: for the materials declared in the unit piece, column J-M is used for emission values.</t>
      </text>
    </comment>
    <comment authorId="0" ref="M16">
      <text>
        <t xml:space="preserve">======
ID#AAAB0MSxGDs
tc={B317659E-3DD2-4ECD-AC16-2492EB88BEC6}    (2026-02-12 11:59:58)
[Kommentartråd]
Din versjon av Excel lar deg lese denne kommentartråden. Eventuelle endringer i den vil imidlertid bli fjernet hvis filen åpnes i en nyere versjon av Excel. Finn ut mer: https://go.microsoft.com/fwlink/?linkid=870924
Kommentar:
    Inicneration. C4 not declared. value for C1-C3</t>
      </text>
    </comment>
    <comment authorId="0" ref="M8">
      <text>
        <t xml:space="preserve">======
ID#AAAB0MSxGDU
tc={3EF42B56-767D-4589-8D39-29C12812E122}    (2026-02-12 11:59:58)
[Kommentartråd]
Din versjon av Excel lar deg lese denne kommentartråden. Eventuelle endringer i den vil imidlertid bli fjernet hvis filen åpnes i en nyere versjon av Excel. Finn ut mer: https://go.microsoft.com/fwlink/?linkid=870924
Kommentar:
    APPENDIX: Additional LCA Results without GOs, p. 18</t>
      </text>
    </comment>
    <comment authorId="0" ref="M25">
      <text>
        <t xml:space="preserve">======
ID#AAAB0MSxGCw
tc={543BAD3B-7EDA-4458-B901-D89853D34780}    (2026-02-12 11:59:58)
[Kommentartråd]
Din versjon av Excel lar deg lese denne kommentartråden. Eventuelle endringer i den vil imidlertid bli fjernet hvis filen åpnes i en nyere versjon av Excel. Finn ut mer: https://go.microsoft.com/fwlink/?linkid=870924
Kommentar:
    100% landfill</t>
      </text>
    </comment>
    <comment authorId="0" ref="M27">
      <text>
        <t xml:space="preserve">======
ID#AAAB0MSxGCs
tc={F983C946-A413-40AD-A176-777456D2D575}    (2026-02-12 11:59:58)
[Kommentartråd]
Din versjon av Excel lar deg lese denne kommentartråden. Eventuelle endringer i den vil imidlertid bli fjernet hvis filen åpnes i en nyere versjon av Excel. Finn ut mer: https://go.microsoft.com/fwlink/?linkid=870924
Kommentar:
    100% inert landfill</t>
      </text>
    </comment>
  </commentList>
  <extLst>
    <ext uri="GoogleSheetsCustomDataVersion2">
      <go:sheetsCustomData xmlns:go="http://customooxmlschemas.google.com/" r:id="rId1" roundtripDataSignature="AMtx7mgWgcHNd7yDHWqrIyCFBht4aVfd7Q=="/>
    </ext>
  </extL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I12">
      <text>
        <t xml:space="preserve">======
ID#AAAB0MSxGHI
tc={5EDA8227-C750-4287-B7A1-230928259A30}    (2026-02-12 11:59:58)
[Kommentartråd]
Din versjon av Excel lar deg lese denne kommentartråden. Eventuelle endringer i den vil imidlertid bli fjernet hvis filen åpnes i en nyere versjon av Excel. Finn ut mer: https://go.microsoft.com/fwlink/?linkid=870924
Kommentar:
    Energigjenvinning+landfill</t>
      </text>
    </comment>
    <comment authorId="0" ref="I14">
      <text>
        <t xml:space="preserve">======
ID#AAAB0MSxGHE
tc={B96FCBB9-1965-41C1-8546-58D3957FDB95}    (2026-02-12 11:59:58)
[Kommentartråd]
Din versjon av Excel lar deg lese denne kommentartråden. Eventuelle endringer i den vil imidlertid bli fjernet hvis filen åpnes i en nyere versjon av Excel. Finn ut mer: https://go.microsoft.com/fwlink/?linkid=870924
Kommentar:
    Recycling</t>
      </text>
    </comment>
    <comment authorId="0" ref="I5">
      <text>
        <t xml:space="preserve">======
ID#AAAB0MSxGGo
tc={3E725786-9426-4BCF-80B4-5D3A643432FC}    (2026-02-12 11:59:58)
[Kommentartråd]
Din versjon av Excel lar deg lese denne kommentartråden. Eventuelle endringer i den vil imidlertid bli fjernet hvis filen åpnes i en nyere versjon av Excel. Finn ut mer: https://go.microsoft.com/fwlink/?linkid=870924
Kommentar:
    GWP-IOBC
Svar:
    Energigjenvinning</t>
      </text>
    </comment>
    <comment authorId="0" ref="I16">
      <text>
        <t xml:space="preserve">======
ID#AAAB0MSxGGk
tc={D58E6DD0-94EF-4B7B-A972-E8B6AB35E650}    (2026-02-12 11:59:58)
[Kommentartråd]
Din versjon av Excel lar deg lese denne kommentartråden. Eventuelle endringer i den vil imidlertid bli fjernet hvis filen åpnes i en nyere versjon av Excel. Finn ut mer: https://go.microsoft.com/fwlink/?linkid=870924
Kommentar:
    Inicneration. C4 not declared. value for C1-C3</t>
      </text>
    </comment>
    <comment authorId="0" ref="I4">
      <text>
        <t xml:space="preserve">======
ID#AAAB0MSxGGQ
tc={61A46D76-281B-4FA6-9620-94327FAF809B}    (2026-02-12 11:59:58)
[Kommentartråd]
Din versjon av Excel lar deg lese denne kommentartråden. Eventuelle endringer i den vil imidlertid bli fjernet hvis filen åpnes i en nyere versjon av Excel. Finn ut mer: https://go.microsoft.com/fwlink/?linkid=870924
Kommentar:
    Inkluderar demontering, transport, avfallsbehandling + avfall till slutbehandling. Antas förbrännas (biogent). 
Svar:
    C3 varierar mellan GWP-IOBC och "vanlig" GWP. Är inte helt säker på vilken som bör brukas. Detta är GWP IOBC, för att vara konsekvent med vad vi brukar för A1-A4/Nike</t>
      </text>
    </comment>
    <comment authorId="0" ref="I13">
      <text>
        <t xml:space="preserve">======
ID#AAAB0MSxGGI
tc={8917090F-B5B4-455C-9AE9-6F3FDCC51FD7}    (2026-02-12 11:59:58)
[Kommentartråd]
Din versjon av Excel lar deg lese denne kommentartråden. Eventuelle endringer i den vil imidlertid bli fjernet hvis filen åpnes i en nyere versjon av Excel. Finn ut mer: https://go.microsoft.com/fwlink/?linkid=870924
Kommentar:
    Energigjenvinning, materialgjenvinning+landfill</t>
      </text>
    </comment>
    <comment authorId="0" ref="I27">
      <text>
        <t xml:space="preserve">======
ID#AAAB0MSxGF0
tc={117BE7E8-B72A-4459-B324-6B69E2ED922E}    (2026-02-12 11:59:58)
[Kommentartråd]
Din versjon av Excel lar deg lese denne kommentartråden. Eventuelle endringer i den vil imidlertid bli fjernet hvis filen åpnes i en nyere versjon av Excel. Finn ut mer: https://go.microsoft.com/fwlink/?linkid=870924
Kommentar:
    100% inert landfill</t>
      </text>
    </comment>
    <comment authorId="0" ref="B29">
      <text>
        <t xml:space="preserve">======
ID#AAAB0MSxGFk
tc={0D9E51E5-537C-4ED7-9A7A-D13BCFBA34BB}    (2026-02-12 11:59:58)
[Kommentartråd]
Din versjon av Excel lar deg lese denne kommentartråden. Eventuelle endringer i den vil imidlertid bli fjernet hvis filen åpnes i en nyere versjon av Excel. Finn ut mer: https://go.microsoft.com/fwlink/?linkid=870924
Kommentar:
    I Group folder
Svar:
    Låg i EPD alt originally</t>
      </text>
    </comment>
    <comment authorId="0" ref="F8">
      <text>
        <t xml:space="preserve">======
ID#AAAB0MSxGFY
tc={066A58DE-F33F-431A-9A68-C6389EB8EF40}    (2026-02-12 11:59:58)
[Kommentartråd]
Din versjon av Excel lar deg lese denne kommentartråden. Eventuelle endringer i den vil imidlertid bli fjernet hvis filen åpnes i en nyere versjon av Excel. Finn ut mer: https://go.microsoft.com/fwlink/?linkid=870924
Kommentar:
    Without Guarantees of origin. P 16</t>
      </text>
    </comment>
    <comment authorId="0" ref="B31">
      <text>
        <t xml:space="preserve">======
ID#AAAB0MSxGFI
tc={B2B0F2A5-4A92-4903-81EF-9006C13F394D}    (2026-02-12 11:59:58)
[Kommentartråd]
Din versjon av Excel lar deg lese denne kommentartråden. Eventuelle endringer i den vil imidlertid bli fjernet hvis filen åpnes i en nyere versjon av Excel. Finn ut mer: https://go.microsoft.com/fwlink/?linkid=870924
Kommentar:
    I Group folder
Svar:
    Låg i EPD alt 3 originally</t>
      </text>
    </comment>
    <comment authorId="0" ref="F3">
      <text>
        <t xml:space="preserve">======
ID#AAAB0MSxGFE
tc={E109ED52-0E53-4FE8-A798-99A99CE1FB97}    (2026-02-12 11:59:58)
[Kommentartråd]
Din versjon av Excel lar deg lese denne kommentartråden. Eventuelle endringer i den vil imidlertid bli fjernet hvis filen åpnes i en nyere versjon av Excel. Finn ut mer: https://go.microsoft.com/fwlink/?linkid=870924
Kommentar:
    Either GWP-IOBC or GWP Fossil has been chosen for all EPDs</t>
      </text>
    </comment>
    <comment authorId="0" ref="I25">
      <text>
        <t xml:space="preserve">======
ID#AAAB0MSxGE0
tc={6997CBF5-E722-4537-9D17-7C4A941EC52E}    (2026-02-12 11:59:58)
[Kommentartråd]
Din versjon av Excel lar deg lese denne kommentartråden. Eventuelle endringer i den vil imidlertid bli fjernet hvis filen åpnes i en nyere versjon av Excel. Finn ut mer: https://go.microsoft.com/fwlink/?linkid=870924
Kommentar:
    100% landfill</t>
      </text>
    </comment>
    <comment authorId="0" ref="G15">
      <text>
        <t xml:space="preserve">======
ID#AAAB0MSxGEs
tc={E45AAA41-96EB-418F-9083-1525A5BFD8C5}    (2026-02-12 11:59:58)
[Kommentartråd]
Din versjon av Excel lar deg lese denne kommentartråden. Eventuelle endringer i den vil imidlertid bli fjernet hvis filen åpnes i en nyere versjon av Excel. Finn ut mer: https://go.microsoft.com/fwlink/?linkid=870924
Kommentar:
    Not applicable - A4 &amp; C1-C4 not included due to no EPD</t>
      </text>
    </comment>
    <comment authorId="0" ref="I3">
      <text>
        <t xml:space="preserve">======
ID#AAAB0MSxGD4
tc={D00F4539-6EB4-4DC1-A3D3-41F4B741C66A}    (2026-02-12 11:59:58)
[Kommentartråd]
Din versjon av Excel lar deg lese denne kommentartråden. Eventuelle endringer i den vil imidlertid bli fjernet hvis filen åpnes i en nyere versjon av Excel. Finn ut mer: https://go.microsoft.com/fwlink/?linkid=870924
Kommentar:
    Livscykelsteg D (gjenvinningspotential) har exkluderats (negativa utsläpp)</t>
      </text>
    </comment>
    <comment authorId="0" ref="I23">
      <text>
        <t xml:space="preserve">======
ID#AAAB0MSxGDo
tc={892A5149-2A4A-4BEB-96A8-E96F6FE3CCC5}    (2026-02-12 11:59:58)
[Kommentartråd]
Din versjon av Excel lar deg lese denne kommentartråden. Eventuelle endringer i den vil imidlertid bli fjernet hvis filen åpnes i en nyere versjon av Excel. Finn ut mer: https://go.microsoft.com/fwlink/?linkid=870924
Kommentar:
    recycling</t>
      </text>
    </comment>
    <comment authorId="0" ref="I6">
      <text>
        <t xml:space="preserve">======
ID#AAAB0MSxGDk
tc={FEBCA781-C076-45F4-BCF5-0A6FB1F0CF68}    (2026-02-12 11:59:58)
[Kommentartråd]
Din versjon av Excel lar deg lese denne kommentartråden. Eventuelle endringer i den vil imidlertid bli fjernet hvis filen åpnes i en nyere versjon av Excel. Finn ut mer: https://go.microsoft.com/fwlink/?linkid=870924
Kommentar:
    GWP IOBC, energigjenvinning</t>
      </text>
    </comment>
    <comment authorId="0" ref="B10">
      <text>
        <t xml:space="preserve">======
ID#AAAB0MSxGDc
tc={4BB08843-8B19-4FBC-A889-9028C8D8F1D9}    (2026-02-12 11:59:58)
[Kommentartråd]
Din versjon av Excel lar deg lese denne kommentartråden. Eventuelle endringer i den vil imidlertid bli fjernet hvis filen åpnes i en nyere versjon av Excel. Finn ut mer: https://go.microsoft.com/fwlink/?linkid=870924
Kommentar:
    Old EPD (2018)</t>
      </text>
    </comment>
    <comment authorId="0" ref="I8">
      <text>
        <t xml:space="preserve">======
ID#AAAB0MSxGDY
tc={CD1DA7DC-96B5-4D2E-86B0-1C0327C5745D}    (2026-02-12 11:59:58)
[Kommentartråd]
Din versjon av Excel lar deg lese denne kommentartråden. Eventuelle endringer i den vil imidlertid bli fjernet hvis filen åpnes i en nyere versjon av Excel. Finn ut mer: https://go.microsoft.com/fwlink/?linkid=870924
Kommentar:
    APPENDIX: Additional LCA Results without GOs, p. 18</t>
      </text>
    </comment>
    <comment authorId="0" ref="B30">
      <text>
        <t xml:space="preserve">======
ID#AAAB0MSxGDQ
tc={BFD66CF2-6A15-4E77-A544-8951934C0F06}    (2026-02-12 11:59:58)
[Kommentartråd]
Din versjon av Excel lar deg lese denne kommentartråden. Eventuelle endringer i den vil imidlertid bli fjernet hvis filen åpnes i en nyere versjon av Excel. Finn ut mer: https://go.microsoft.com/fwlink/?linkid=870924
Kommentar:
    I Group folder
Svar:
    Låg i EPD alt 2 originally</t>
      </text>
    </comment>
    <comment authorId="0" ref="B11">
      <text>
        <t xml:space="preserve">======
ID#AAAB0MSxGDA
tc={AC28C712-3C3B-4DDB-BE1D-F350730BB21F}    (2026-02-12 11:59:58)
[Kommentartråd]
Din versjon av Excel lar deg lese denne kommentartråden. Eventuelle endringer i den vil imidlertid bli fjernet hvis filen åpnes i en nyere versjon av Excel. Finn ut mer: https://go.microsoft.com/fwlink/?linkid=870924
Kommentar:
    Old EPD (2018)</t>
      </text>
    </comment>
  </commentList>
  <extLst>
    <ext uri="GoogleSheetsCustomDataVersion2">
      <go:sheetsCustomData xmlns:go="http://customooxmlschemas.google.com/" r:id="rId1" roundtripDataSignature="AMtx7mgMm70UCBtMBQxhwTNX4jOfdvjixQ=="/>
    </ext>
  </extL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G12">
      <text>
        <t xml:space="preserve">======
ID#AAAB0MSxGCo
tc={4D144117-925B-46C3-9152-6B4199570184}    (2026-02-12 11:59:58)
[Kommentartråd]
Din versjon av Excel lar deg lese denne kommentartråden. Eventuelle endringer i den vil imidlertid bli fjernet hvis filen åpnes i en nyere versjon av Excel. Finn ut mer: https://go.microsoft.com/fwlink/?linkid=870924
Kommentar:
    Note: benyttes kun för gulv därav samma vekt som för helt rivet bad</t>
      </text>
    </comment>
  </commentList>
  <extLst>
    <ext uri="GoogleSheetsCustomDataVersion2">
      <go:sheetsCustomData xmlns:go="http://customooxmlschemas.google.com/" r:id="rId1" roundtripDataSignature="AMtx7mjYoWbb5FTFmOm/BE40GcHh3yL1Ww=="/>
    </ext>
  </extLst>
</comments>
</file>

<file path=xl/sharedStrings.xml><?xml version="1.0" encoding="utf-8"?>
<sst xmlns="http://schemas.openxmlformats.org/spreadsheetml/2006/main" count="1419" uniqueCount="326">
  <si>
    <t>Avoided emissions - Metod och introduktion</t>
  </si>
  <si>
    <t>Översikt över ark</t>
  </si>
  <si>
    <t>Results - analysis</t>
  </si>
  <si>
    <t>Base case - rivet bad med återbruk</t>
  </si>
  <si>
    <t xml:space="preserve">Base case - rivet bad </t>
  </si>
  <si>
    <t>M-TEK Manipulated</t>
  </si>
  <si>
    <t>M-Tett manipulated</t>
  </si>
  <si>
    <t>Results - analysis (t-km)</t>
  </si>
  <si>
    <t>Transport manipulated</t>
  </si>
  <si>
    <t>EPD data</t>
  </si>
  <si>
    <t>M-tett original</t>
  </si>
  <si>
    <t xml:space="preserve">M-Tek original </t>
  </si>
  <si>
    <t>Datagrunnlag</t>
  </si>
  <si>
    <t xml:space="preserve">Inkluderat </t>
  </si>
  <si>
    <t>Ej inkluderat</t>
  </si>
  <si>
    <t>* Ej inkluderat pga osäkerhet/försumbara utsläpp</t>
  </si>
  <si>
    <t>* Ej inkluderat pga reparation ej antas påverka livslängd</t>
  </si>
  <si>
    <t>* Ej inkluderat pga osäkerhet &amp; försumbara utsläpp</t>
  </si>
  <si>
    <t>Kalkylator - potentiella estimerade avoided emissions</t>
  </si>
  <si>
    <t>Antal kvadratmeter [fyll i her]</t>
  </si>
  <si>
    <t xml:space="preserve">Scenario 1 </t>
  </si>
  <si>
    <t>Ungått ubeboelighet</t>
  </si>
  <si>
    <t>M-tek ubeboelighet</t>
  </si>
  <si>
    <t>Bespart ubeboelighet</t>
  </si>
  <si>
    <t>Kostnad Rehab</t>
  </si>
  <si>
    <t>M-Tek KOST</t>
  </si>
  <si>
    <t>Bespart Kost</t>
  </si>
  <si>
    <t>Utslipp Rehab</t>
  </si>
  <si>
    <t>M-tek Utslipp</t>
  </si>
  <si>
    <t>Ungåtte utslipp</t>
  </si>
  <si>
    <t>Materiale (A1-A4), kgCO2e</t>
  </si>
  <si>
    <t>Transport, kgCO2e</t>
  </si>
  <si>
    <t>Avfall (C1-C4), kgCO2e</t>
  </si>
  <si>
    <t>TOT emissions, kgCO2e</t>
  </si>
  <si>
    <t>Base case - Rive bad med gjenbruk</t>
  </si>
  <si>
    <t>Case 1 M-tek</t>
  </si>
  <si>
    <t>Punkt 9000 uansett kvm</t>
  </si>
  <si>
    <t>Case 2 M-tek</t>
  </si>
  <si>
    <t>DROPPE</t>
  </si>
  <si>
    <t>Scenario 2</t>
  </si>
  <si>
    <t>Case 1 + 2 M-tek</t>
  </si>
  <si>
    <t>Scenario 3</t>
  </si>
  <si>
    <t>Base case - Rive bad uten gjenbruk</t>
  </si>
  <si>
    <t>Base case: Rivet bad med gjenbruk</t>
  </si>
  <si>
    <t>Antal kvadratmeter</t>
  </si>
  <si>
    <r>
      <rPr>
        <rFont val="Calibri"/>
        <b/>
        <color theme="1"/>
        <sz val="11.0"/>
      </rPr>
      <t xml:space="preserve">Produkt- och viktinformation </t>
    </r>
    <r>
      <rPr>
        <rFont val="Calibri"/>
        <b/>
        <i/>
        <color theme="1"/>
        <sz val="11.0"/>
      </rPr>
      <t>(data från M-Tett/M-Tek)</t>
    </r>
  </si>
  <si>
    <t>Resultat per kvadratmeter</t>
  </si>
  <si>
    <t>Resultat per X kvadratmeter</t>
  </si>
  <si>
    <t>Produkt</t>
  </si>
  <si>
    <t>Material</t>
  </si>
  <si>
    <t>Vikt per kvadratmeter</t>
  </si>
  <si>
    <t>Vekt X m2</t>
  </si>
  <si>
    <t>Enhet*</t>
  </si>
  <si>
    <t>Vekt 1 m2</t>
  </si>
  <si>
    <t>Vekt i kg (X kvadratmeter)</t>
  </si>
  <si>
    <t xml:space="preserve">A1-A3 GWP (kgCO2e/kg)* </t>
  </si>
  <si>
    <t>A1-A4 GWP (kgCO2e/kg)*</t>
  </si>
  <si>
    <t>A4 GWP (kgCO2e/kg)*</t>
  </si>
  <si>
    <t>C1-C4 GWP (kgCO2e/kg)*</t>
  </si>
  <si>
    <t>A1-A3 KgCO2e/m2</t>
  </si>
  <si>
    <t>A4 KgCO2e/m3</t>
  </si>
  <si>
    <t>A1-A4 KgCO2e/m3</t>
  </si>
  <si>
    <t>C1-C4 KgCO2e/m2</t>
  </si>
  <si>
    <t>A1-A3 KgCO2e/ X m2</t>
  </si>
  <si>
    <t>A4 KgCO2e/ X m3</t>
  </si>
  <si>
    <t>A1-A4 KgCO2e/X m2</t>
  </si>
  <si>
    <t>C1-C4 KgCO2e/X m2</t>
  </si>
  <si>
    <t>Källa</t>
  </si>
  <si>
    <t>Kommentar</t>
  </si>
  <si>
    <t>Sponplater</t>
  </si>
  <si>
    <t>Trevirke</t>
  </si>
  <si>
    <t>kg</t>
  </si>
  <si>
    <t>Spon</t>
  </si>
  <si>
    <t>.</t>
  </si>
  <si>
    <t>Konstruksjonsmaterialet</t>
  </si>
  <si>
    <t>Trevirke lekting</t>
  </si>
  <si>
    <t>Rupanel</t>
  </si>
  <si>
    <t>Membran plater</t>
  </si>
  <si>
    <t>XPS og glassfiber</t>
  </si>
  <si>
    <t>Litex våtromsplate</t>
  </si>
  <si>
    <t>Isolasjon</t>
  </si>
  <si>
    <t>Rockwool</t>
  </si>
  <si>
    <t>rockwool</t>
  </si>
  <si>
    <t>Sparkel</t>
  </si>
  <si>
    <t>Jotun våtromsparkel</t>
  </si>
  <si>
    <t>jotun våtromsparkel</t>
  </si>
  <si>
    <t>Baderomsstøp</t>
  </si>
  <si>
    <t>Avrettingsmasse</t>
  </si>
  <si>
    <t>avrettingsmasse (Proplan Basic)</t>
  </si>
  <si>
    <t>Armering</t>
  </si>
  <si>
    <t>Stål</t>
  </si>
  <si>
    <t>Armeringsnett</t>
  </si>
  <si>
    <t>Varmekabler med feste</t>
  </si>
  <si>
    <t>Plast og kobber</t>
  </si>
  <si>
    <t>Varmekabel ØS varme</t>
  </si>
  <si>
    <t>Gips i taket</t>
  </si>
  <si>
    <t>Gips</t>
  </si>
  <si>
    <t>Gipsplate</t>
  </si>
  <si>
    <t>Masnejtter og tape</t>
  </si>
  <si>
    <t>Plast</t>
  </si>
  <si>
    <t>slukmansjett (PCI_Pecitape)</t>
  </si>
  <si>
    <t xml:space="preserve">Notera: utsläpp estimerat per material då ingen EPD fanns tillgänglig. Därav är A4+C1-C4 ej inkluderat. </t>
  </si>
  <si>
    <t>Smøremembran</t>
  </si>
  <si>
    <t>PCI membran (Lastogum)</t>
  </si>
  <si>
    <t>Vann og avløpsrør</t>
  </si>
  <si>
    <t xml:space="preserve">Plast   </t>
  </si>
  <si>
    <t>Rør i rør system roth mulitiplex</t>
  </si>
  <si>
    <t>Elektro, ledninger og stikk og belysning</t>
  </si>
  <si>
    <t>Plast, kobber stål</t>
  </si>
  <si>
    <t>See below</t>
  </si>
  <si>
    <t>Downlight</t>
  </si>
  <si>
    <t>pcs</t>
  </si>
  <si>
    <t>Downlights SG eco</t>
  </si>
  <si>
    <t>Notera: vikt refererar till 1 st</t>
  </si>
  <si>
    <t>Stickkontakt</t>
  </si>
  <si>
    <t>Stikkkontakt Elko plus</t>
  </si>
  <si>
    <t>Thermostat</t>
  </si>
  <si>
    <t>Thermostat Elko plus</t>
  </si>
  <si>
    <t>Rör till downlight</t>
  </si>
  <si>
    <t>Korrigert rør</t>
  </si>
  <si>
    <t>Våtromsmaling</t>
  </si>
  <si>
    <t>Maling</t>
  </si>
  <si>
    <t>Silikon</t>
  </si>
  <si>
    <t>silikon</t>
  </si>
  <si>
    <t>Fliser</t>
  </si>
  <si>
    <t>fliser</t>
  </si>
  <si>
    <t>Flislim og fuger</t>
  </si>
  <si>
    <t>Flislim</t>
  </si>
  <si>
    <t>Sluk og slukrist</t>
  </si>
  <si>
    <t>Stål,plast</t>
  </si>
  <si>
    <t>Sluk (sliderain)</t>
  </si>
  <si>
    <t>Sisterne</t>
  </si>
  <si>
    <t>Stål (80%), isipor og plast</t>
  </si>
  <si>
    <t>Toalett</t>
  </si>
  <si>
    <t>Porselen</t>
  </si>
  <si>
    <t>Gustavsberg toalett</t>
  </si>
  <si>
    <t xml:space="preserve">Notera: vikt refererar till 1 st. Kan återbrukas. </t>
  </si>
  <si>
    <t>Dusjevegger</t>
  </si>
  <si>
    <t>Glass (90%) plast (5%) og stål (5%)</t>
  </si>
  <si>
    <t>Baderomsinnredning</t>
  </si>
  <si>
    <t>Tre,porselen, plast stål</t>
  </si>
  <si>
    <t>Badekar og dusjkar</t>
  </si>
  <si>
    <t>Total</t>
  </si>
  <si>
    <t>* I de fall där enheten "pcs" används representerar GWP-värdet utsläppen per styck istället för kg.</t>
  </si>
  <si>
    <t>TOT</t>
  </si>
  <si>
    <t>* Notera att antal "psc" måste redigeras manuellt för att kunna justera antalet enheter</t>
  </si>
  <si>
    <t>*Notera för Downlights: Denna formeln fungerar upp till 32 kvadratmeter, därefter blir antalet Downlights konstant</t>
  </si>
  <si>
    <t>Base case: Rivet bad</t>
  </si>
  <si>
    <r>
      <rPr>
        <rFont val="Calibri"/>
        <b/>
        <color theme="1"/>
        <sz val="11.0"/>
      </rPr>
      <t xml:space="preserve">Produkt- och viktinformation </t>
    </r>
    <r>
      <rPr>
        <rFont val="Calibri"/>
        <b/>
        <i/>
        <color theme="1"/>
        <sz val="11.0"/>
      </rPr>
      <t>(data från M-Tett/M-Tek)</t>
    </r>
  </si>
  <si>
    <t>KgCO2e/X m2(A4 only)</t>
  </si>
  <si>
    <t>Mangler.. Med i M-tetts rivet bad</t>
  </si>
  <si>
    <t>anta samma som M-tett</t>
  </si>
  <si>
    <t>Vekt 5 m2</t>
  </si>
  <si>
    <t>Rive badet</t>
  </si>
  <si>
    <t>Materialet</t>
  </si>
  <si>
    <t>Vekt</t>
  </si>
  <si>
    <t>Plast,kobber stål</t>
  </si>
  <si>
    <t>Stål, isipor og plast</t>
  </si>
  <si>
    <t>Kan återbrukes</t>
  </si>
  <si>
    <t>Glass plast og stål</t>
  </si>
  <si>
    <t>M-tek - Värmekabelreparation</t>
  </si>
  <si>
    <t>Info Case 2.1 och 2.2</t>
  </si>
  <si>
    <t>Case 2.1. inkluderar endast punktreparation av värmekablar. Detta förutsätter att en punktsreparation kan göras, vilket inte alltid är fallet. Resultatet av detta case ärutsläpp knyttet till en punktreparation.</t>
  </si>
  <si>
    <t xml:space="preserve">Case 2.2 Detta case inkluderar att M-TEK åker ut till site för att se om punktreparasjon av värmekablar kan göras, och att bedömningen är att de måste lägga ett nytt golv. Resultaten av detta case är utsläpp kopplat till att man måste lägga ett helt nytt golv. </t>
  </si>
  <si>
    <t>Case 2.1 M-tek</t>
  </si>
  <si>
    <t>Punktreparasjon varmekabel - ikke avhengig av m2</t>
  </si>
  <si>
    <t>A-A44 GWP (kgCO2e/kg)*2</t>
  </si>
  <si>
    <t>kommentar</t>
  </si>
  <si>
    <t>Erstatningsflis</t>
  </si>
  <si>
    <t>Varmekabel lodding</t>
  </si>
  <si>
    <t>samma EPD som varmekabel med feste</t>
  </si>
  <si>
    <t>Totalt</t>
  </si>
  <si>
    <t>Case 2.2 M-tek</t>
  </si>
  <si>
    <t>Legge nytt gulv - avhengig av baderom størrelse i m2</t>
  </si>
  <si>
    <t xml:space="preserve">A1-A3 GWP (kgCO2e/kg) </t>
  </si>
  <si>
    <t>A4</t>
  </si>
  <si>
    <t>A1-A4 GWP (kgCO2e/kg)</t>
  </si>
  <si>
    <t>C1-C4 GWP (kgCO2e/kg)</t>
  </si>
  <si>
    <t>A1-A4 KgCO2e/m2</t>
  </si>
  <si>
    <t>KgCO2e/m2 (A4 only)</t>
  </si>
  <si>
    <t>Transport till och från skadeverksted</t>
  </si>
  <si>
    <t>&lt; inkluderat i t-km</t>
  </si>
  <si>
    <t>Case</t>
  </si>
  <si>
    <t>Aktivitet</t>
  </si>
  <si>
    <t>Antaganden</t>
  </si>
  <si>
    <t xml:space="preserve">Beräkningen inkluderar endast transport från grossist/försäljningsställe till site. Övrig transport (tex ingående transport till grossisten) är inte inkluderad i beräkningen, på grund av höga osäkerheter. I de fall som ingående transport inkluderas i EPDerna, har detta inkluderats i utsläppen för produkterna (A1-A4). </t>
  </si>
  <si>
    <t>Värmekabelreparation</t>
  </si>
  <si>
    <t>Inkluderar transport för ett besök mellan grossist och site för reparation av värmekabel</t>
  </si>
  <si>
    <t>Case 2.2 M-Tek</t>
  </si>
  <si>
    <t>Värmekabelreparation inklusive nytt golv</t>
  </si>
  <si>
    <t xml:space="preserve">Inkluderar transport för ett besök mellan grossist och site för reparation av värmekabel och nytt golv. </t>
  </si>
  <si>
    <t>Rivet bad/rehabilitering</t>
  </si>
  <si>
    <t xml:space="preserve">Inkluderar transport för ett uppskattat antal besök mellan grossist och site för reparation av helt bad. </t>
  </si>
  <si>
    <t>Helt rivet bad/rehabilitering</t>
  </si>
  <si>
    <t>Transportberäkningar</t>
  </si>
  <si>
    <t>KM t/r</t>
  </si>
  <si>
    <t>Dager</t>
  </si>
  <si>
    <t>Biler/dag</t>
  </si>
  <si>
    <t>Källa/beskrivning av grunnlag, resonemang</t>
  </si>
  <si>
    <t>Vikt (ton)</t>
  </si>
  <si>
    <t>tkm</t>
  </si>
  <si>
    <t>tot km</t>
  </si>
  <si>
    <t>kgCO2e (tkm)</t>
  </si>
  <si>
    <t>kgCO2e (km)</t>
  </si>
  <si>
    <t>Diff</t>
  </si>
  <si>
    <t>Kommentar CEMAsys</t>
  </si>
  <si>
    <t>Case 2.1 M-Tek</t>
  </si>
  <si>
    <t>Oavsett Case 2-scenario, så görs denna transport (Case 2.1 M-tech) först. Sedan om värmekabel ej kan repareras, adderas transport för case 2.2 M-Tech</t>
  </si>
  <si>
    <t>Case 2.2 M-Tek (X kvadratmeter)</t>
  </si>
  <si>
    <t>Base case: Rivet bad med gjenbruk (X kvadratmeter)</t>
  </si>
  <si>
    <t>Base case: Rivet bad (X kvadratmeter)</t>
  </si>
  <si>
    <t xml:space="preserve">1.5 bil? Antagelse pga varierande transport. </t>
  </si>
  <si>
    <t>EF liten varebil</t>
  </si>
  <si>
    <t>Van (up to 3.5 tonn), fuel unknown</t>
  </si>
  <si>
    <t>kgCO2e/tkm</t>
  </si>
  <si>
    <t>CEMAsys, DEFRA 2023</t>
  </si>
  <si>
    <t>kgCO2e/km</t>
  </si>
  <si>
    <t>Material (A1-A4), kgCO2e</t>
  </si>
  <si>
    <t>Rivet bad med gjenbruk</t>
  </si>
  <si>
    <t>Case 2.1 + 2.2 M-tech</t>
  </si>
  <si>
    <t>Helt rivet bad</t>
  </si>
  <si>
    <t>EPD GWP LIBRARY</t>
  </si>
  <si>
    <t>EoL Scenario 1 or main scenario</t>
  </si>
  <si>
    <t>EPD</t>
  </si>
  <si>
    <t>Comment</t>
  </si>
  <si>
    <t>Packaging? YES/NO</t>
  </si>
  <si>
    <t>FU</t>
  </si>
  <si>
    <t>Density or other "weight" info excluding packaging</t>
  </si>
  <si>
    <t>Unit</t>
  </si>
  <si>
    <t>Density or other "weight" info with packaging</t>
  </si>
  <si>
    <t>Unit3</t>
  </si>
  <si>
    <t>GWP A1-A3/FU</t>
  </si>
  <si>
    <t>GWP A4/FU</t>
  </si>
  <si>
    <t>GWP A1-A4/FU</t>
  </si>
  <si>
    <t>GWP C1-C4/FU</t>
  </si>
  <si>
    <t>GWP scenario 2</t>
  </si>
  <si>
    <t>GWP A1-A3
kgCO2e/kg</t>
  </si>
  <si>
    <t>GWP A4
kgCO2e/kg</t>
  </si>
  <si>
    <t>GWP A1-A4/kg
kgCO2e/kg</t>
  </si>
  <si>
    <t>GWP C1-C4/kg</t>
  </si>
  <si>
    <t>C1</t>
  </si>
  <si>
    <t>C2</t>
  </si>
  <si>
    <t>C3</t>
  </si>
  <si>
    <t>C4</t>
  </si>
  <si>
    <t>C1-C4</t>
  </si>
  <si>
    <t>Note: GWP IOBC</t>
  </si>
  <si>
    <t>Yes</t>
  </si>
  <si>
    <t>1 m3</t>
  </si>
  <si>
    <t>kg/m3</t>
  </si>
  <si>
    <t>1 m2</t>
  </si>
  <si>
    <t>kg/m2</t>
  </si>
  <si>
    <t>Note: GWP fossil</t>
  </si>
  <si>
    <t>Yes (unclear)</t>
  </si>
  <si>
    <t>C1-C4 ej deklarerat i EPD</t>
  </si>
  <si>
    <t>1 kg</t>
  </si>
  <si>
    <t>-</t>
  </si>
  <si>
    <t>No</t>
  </si>
  <si>
    <t>avrettingsmasse (Proplan Fin)</t>
  </si>
  <si>
    <t xml:space="preserve">EoL Scenario 2 </t>
  </si>
  <si>
    <t>1 m</t>
  </si>
  <si>
    <t>kg/m</t>
  </si>
  <si>
    <t xml:space="preserve">Ingen EPD tillgänglig - estimerat per material. Based on estimate 50% PU, flexible foam and 50% PP.
PU: Ecoinvent 3.10, market for polyurethane production, flexible foam, RER, IPCC 2021, GWP100
PP: DEFRA 2023: Material use, Plastic, Plastics: PP (incl. forming), primary material production. </t>
  </si>
  <si>
    <t>GWP Fossil. C4 not declared in EPD</t>
  </si>
  <si>
    <t>1000-1500</t>
  </si>
  <si>
    <t>Note: just nu används GWP total</t>
  </si>
  <si>
    <t>GWP fossil</t>
  </si>
  <si>
    <t>KGCO2e/ 20 m2. C4 not declared</t>
  </si>
  <si>
    <t>Yes, same weight…</t>
  </si>
  <si>
    <t>C1-C4 not included</t>
  </si>
  <si>
    <t>1 pcs</t>
  </si>
  <si>
    <t>kg/pcs</t>
  </si>
  <si>
    <t>epd-geberit-duofix-element-wc-sigma12-hub-0259-2023-02-02.pdf</t>
  </si>
  <si>
    <t xml:space="preserve">Note: GWP fossil. EPD found by CEMAsys. </t>
  </si>
  <si>
    <t>Data (environdec.com)</t>
  </si>
  <si>
    <t>Note: EPD found by CEMAsys. gWP fossil</t>
  </si>
  <si>
    <t>A1-A3 included (yes/no)</t>
  </si>
  <si>
    <t>A4 included (yes/no)</t>
  </si>
  <si>
    <t>C1-C4 included (yes/no)</t>
  </si>
  <si>
    <t>Base case</t>
  </si>
  <si>
    <t>Rivet bad</t>
  </si>
  <si>
    <t>NY VIKT THOMAS</t>
  </si>
  <si>
    <t>Case 2</t>
  </si>
  <si>
    <t>Case 3</t>
  </si>
  <si>
    <t>Case 4</t>
  </si>
  <si>
    <t>Scenario 4</t>
  </si>
  <si>
    <t>Revet bad</t>
  </si>
  <si>
    <t>Vekt/m2</t>
  </si>
  <si>
    <t>enhet</t>
  </si>
  <si>
    <t>Vikt</t>
  </si>
  <si>
    <t>Enhet</t>
  </si>
  <si>
    <t>Hele gulv</t>
  </si>
  <si>
    <t>Sisterne ( 2m2)</t>
  </si>
  <si>
    <t>Teskel ( 0,5M2)</t>
  </si>
  <si>
    <t>Dusjnisje (5m2)</t>
  </si>
  <si>
    <t>kg /m2</t>
  </si>
  <si>
    <t xml:space="preserve">kg </t>
  </si>
  <si>
    <t>Antall m2</t>
  </si>
  <si>
    <t>EPD alt.</t>
  </si>
  <si>
    <t>EPD alt 2</t>
  </si>
  <si>
    <t>EPD alt 3</t>
  </si>
  <si>
    <t>avrettingsmasse</t>
  </si>
  <si>
    <t>slukmansjett</t>
  </si>
  <si>
    <t>Peci Tape</t>
  </si>
  <si>
    <t>PCI membran</t>
  </si>
  <si>
    <t>Avløpskobling wavin-wafix</t>
  </si>
  <si>
    <t>Fuging</t>
  </si>
  <si>
    <t>Sluk</t>
  </si>
  <si>
    <t>Punktreperasjon</t>
  </si>
  <si>
    <t>Vekt 5m2</t>
  </si>
  <si>
    <t>NEPD-3435-2046_TFXP-0-6-1kV-FleX-4G240-.pdf (epd-norge.no)</t>
  </si>
  <si>
    <t>Badromstøp</t>
  </si>
  <si>
    <t>Kommmentar</t>
  </si>
  <si>
    <t>Smøremembran m mansjetter</t>
  </si>
  <si>
    <t xml:space="preserve">hvilken reperasjon. </t>
  </si>
  <si>
    <t>Utslipp knyttet til transport, kvalitetssikre gjerne disse:</t>
  </si>
  <si>
    <t>Basert på produkter/tjenester levert fra grossist/utsalgssted lokalt, øvrig transport frem til utsalgssted er ikke hensyntatt (20 km en vei)</t>
  </si>
  <si>
    <t>Basert på tre besøk (t/r) på skadested for slukreparasjon (M-TETT)</t>
  </si>
  <si>
    <t>Basert på et besøk (t/r) på skadested for varmekablelreparasjon (M-TEK)</t>
  </si>
  <si>
    <t>Basert på fire besøk (t/r) på skadested for nytt gulv (M-TEK)</t>
  </si>
  <si>
    <t>CO2/km liten varebil 147 g</t>
  </si>
  <si>
    <t>CO2/KM</t>
  </si>
  <si>
    <t>Utslipp/jobb</t>
  </si>
  <si>
    <t>Slukrep (M-TETT)</t>
  </si>
  <si>
    <t>Varmekabelrep (M-TEK)</t>
  </si>
  <si>
    <t>Nytt gulv (M-TEK)</t>
  </si>
  <si>
    <t>Rehabilitering/riving (alternativ løsning)</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</si>
</sst>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0.0"/>
    <numFmt numFmtId="165" formatCode="yyyy.m"/>
    <numFmt numFmtId="166" formatCode="0.0"/>
    <numFmt numFmtId="167" formatCode="0.000"/>
    <numFmt numFmtId="168" formatCode="_-* #,##0.000_-;\-* #,##0.000_-;_-* &quot;-&quot;??_-;_-@"/>
    <numFmt numFmtId="169" formatCode="_-* #,##0.00_-;\-* #,##0.00_-;_-* &quot;-&quot;??_-;_-@"/>
    <numFmt numFmtId="170" formatCode="0.0000"/>
  </numFmts>
  <fonts count="44">
    <font>
      <sz val="11.0"/>
      <color theme="1"/>
      <name val="Calibri"/>
      <scheme val="minor"/>
    </font>
    <font>
      <sz val="18.0"/>
      <color theme="1"/>
      <name val="Calibri"/>
    </font>
    <font>
      <sz val="11.0"/>
      <color theme="1"/>
      <name val="Calibri"/>
    </font>
    <font>
      <sz val="26.0"/>
      <color theme="1"/>
      <name val="Calibri"/>
    </font>
    <font>
      <b/>
      <sz val="11.0"/>
      <color theme="1"/>
      <name val="Calibri"/>
    </font>
    <font>
      <sz val="16.0"/>
      <color theme="1"/>
      <name val="Calibri"/>
    </font>
    <font>
      <color theme="1"/>
      <name val="Calibri"/>
      <scheme val="minor"/>
    </font>
    <font>
      <i/>
      <sz val="11.0"/>
      <color theme="1"/>
      <name val="Calibri"/>
    </font>
    <font/>
    <font>
      <sz val="9.0"/>
      <color theme="1"/>
      <name val="Calibri"/>
    </font>
    <font>
      <b/>
      <sz val="9.0"/>
      <color theme="1"/>
      <name val="Calibri"/>
    </font>
    <font>
      <sz val="11.0"/>
      <color rgb="FFC00000"/>
      <name val="Calibri"/>
    </font>
    <font>
      <sz val="10.0"/>
      <color theme="1"/>
      <name val="Calibri"/>
    </font>
    <font>
      <b/>
      <sz val="18.0"/>
      <color theme="1"/>
      <name val="Calibri"/>
    </font>
    <font>
      <b/>
      <sz val="11.0"/>
      <color rgb="FFFFFFFF"/>
      <name val="Calibri"/>
    </font>
    <font>
      <u/>
      <sz val="11.0"/>
      <color theme="10"/>
      <name val="Calibri"/>
    </font>
    <font>
      <sz val="11.0"/>
      <color theme="10"/>
      <name val="Calibri"/>
    </font>
    <font>
      <sz val="11.0"/>
      <color rgb="FF9C0006"/>
      <name val="Calibri"/>
    </font>
    <font>
      <sz val="11.0"/>
      <color rgb="FF000000"/>
      <name val="Calibri"/>
    </font>
    <font>
      <u/>
      <sz val="11.0"/>
      <color theme="10"/>
      <name val="Calibri"/>
    </font>
    <font>
      <sz val="11.0"/>
      <color rgb="FF9C5700"/>
      <name val="Calibri"/>
    </font>
    <font>
      <u/>
      <sz val="11.0"/>
      <color theme="10"/>
      <name val="Calibri"/>
    </font>
    <font>
      <b/>
      <sz val="13.0"/>
      <color rgb="FF444D26"/>
      <name val="Calibri"/>
    </font>
    <font>
      <b/>
      <sz val="11.0"/>
      <color rgb="FF7F7F7F"/>
      <name val="Calibri"/>
    </font>
    <font>
      <b/>
      <sz val="11.0"/>
      <color rgb="FF000000"/>
      <name val="Calibri"/>
    </font>
    <font>
      <b/>
      <sz val="13.0"/>
      <color rgb="FF44546A"/>
      <name val="Calibri"/>
    </font>
    <font>
      <b/>
      <sz val="11.0"/>
      <color rgb="FF9C5700"/>
      <name val="Calibri"/>
    </font>
    <font>
      <u/>
      <sz val="11.0"/>
      <color theme="1"/>
      <name val="Calibri"/>
    </font>
    <font>
      <u/>
      <sz val="11.0"/>
      <color theme="1"/>
      <name val="Calibri"/>
    </font>
    <font>
      <b/>
      <sz val="20.0"/>
      <color theme="1"/>
      <name val="Calibri"/>
    </font>
    <font>
      <b/>
      <sz val="16.0"/>
      <color rgb="FFFF0000"/>
      <name val="Calibri"/>
    </font>
    <font>
      <sz val="11.0"/>
      <color rgb="FF7F7F7F"/>
      <name val="Calibri"/>
    </font>
    <font>
      <b/>
      <sz val="24.0"/>
      <color rgb="FFFF0000"/>
      <name val="Calibri"/>
    </font>
    <font>
      <color rgb="FFFFFFFF"/>
      <name val="Calibri"/>
      <scheme val="minor"/>
    </font>
    <font>
      <u/>
      <sz val="11.0"/>
      <color rgb="FF0000FF"/>
      <name val="Calibri"/>
    </font>
    <font>
      <sz val="11.0"/>
      <color rgb="FF242424"/>
      <name val="Aptos Narrow"/>
    </font>
    <font>
      <u/>
      <sz val="11.0"/>
      <color rgb="FF0000FF"/>
      <name val="Calibri"/>
    </font>
    <font>
      <u/>
      <sz val="11.0"/>
      <color rgb="FF0000FF"/>
      <name val="Calibri"/>
    </font>
    <font>
      <u/>
      <sz val="11.0"/>
      <color rgb="FF000000"/>
      <name val="Calibri"/>
    </font>
    <font>
      <u/>
      <sz val="11.0"/>
      <color rgb="FFC00000"/>
      <name val="Calibri"/>
    </font>
    <font>
      <u/>
      <sz val="11.0"/>
      <color theme="1"/>
      <name val="Calibri"/>
    </font>
    <font>
      <u/>
      <sz val="11.0"/>
      <color theme="10"/>
      <name val="Calibri"/>
    </font>
    <font>
      <i/>
      <sz val="11.0"/>
      <color rgb="FF000000"/>
      <name val="Calibri"/>
    </font>
    <font>
      <u/>
      <sz val="11.0"/>
      <color theme="10"/>
      <name val="Calibri"/>
    </font>
  </fonts>
  <fills count="34">
    <fill>
      <patternFill patternType="none"/>
    </fill>
    <fill>
      <patternFill patternType="lightGray"/>
    </fill>
    <fill>
      <patternFill patternType="solid">
        <fgColor rgb="FFF2F2F2"/>
        <bgColor rgb="FFF2F2F2"/>
      </patternFill>
    </fill>
    <fill>
      <patternFill patternType="solid">
        <fgColor rgb="FFD8D8D8"/>
        <bgColor rgb="FFD8D8D8"/>
      </patternFill>
    </fill>
    <fill>
      <patternFill patternType="solid">
        <fgColor theme="4"/>
        <bgColor theme="4"/>
      </patternFill>
    </fill>
    <fill>
      <patternFill patternType="solid">
        <fgColor rgb="FFF7C890"/>
        <bgColor rgb="FFF7C890"/>
      </patternFill>
    </fill>
    <fill>
      <patternFill patternType="solid">
        <fgColor rgb="FFB2C4DA"/>
        <bgColor rgb="FFB2C4DA"/>
      </patternFill>
    </fill>
    <fill>
      <patternFill patternType="solid">
        <fgColor rgb="FFC3B5D9"/>
        <bgColor rgb="FFC3B5D9"/>
      </patternFill>
    </fill>
    <fill>
      <patternFill patternType="solid">
        <fgColor theme="8"/>
        <bgColor theme="8"/>
      </patternFill>
    </fill>
    <fill>
      <patternFill patternType="solid">
        <fgColor theme="6"/>
        <bgColor theme="6"/>
      </patternFill>
    </fill>
    <fill>
      <patternFill patternType="solid">
        <fgColor rgb="FFDEE4CA"/>
        <bgColor rgb="FFDEE4CA"/>
      </patternFill>
    </fill>
    <fill>
      <patternFill patternType="solid">
        <fgColor rgb="FFBECA95"/>
        <bgColor rgb="FFBECA95"/>
      </patternFill>
    </fill>
    <fill>
      <patternFill patternType="solid">
        <fgColor rgb="FFDD7E0E"/>
        <bgColor rgb="FFDD7E0E"/>
      </patternFill>
    </fill>
    <fill>
      <patternFill patternType="solid">
        <fgColor rgb="FFF5E9ED"/>
        <bgColor rgb="FFF5E9ED"/>
      </patternFill>
    </fill>
    <fill>
      <patternFill patternType="solid">
        <fgColor rgb="FFECCCFC"/>
        <bgColor rgb="FFECCCFC"/>
      </patternFill>
    </fill>
    <fill>
      <patternFill patternType="solid">
        <fgColor rgb="FFFFEB9C"/>
        <bgColor rgb="FFFFEB9C"/>
      </patternFill>
    </fill>
    <fill>
      <patternFill patternType="solid">
        <fgColor rgb="FF4E74A3"/>
        <bgColor rgb="FF4E74A3"/>
      </patternFill>
    </fill>
    <fill>
      <patternFill patternType="solid">
        <fgColor rgb="FFFADAB5"/>
        <bgColor rgb="FFFADAB5"/>
      </patternFill>
    </fill>
    <fill>
      <patternFill patternType="solid">
        <fgColor rgb="FF9EB060"/>
        <bgColor rgb="FF9EB060"/>
      </patternFill>
    </fill>
    <fill>
      <patternFill patternType="solid">
        <fgColor rgb="FFE5EBF2"/>
        <bgColor rgb="FFE5EBF2"/>
      </patternFill>
    </fill>
    <fill>
      <patternFill patternType="solid">
        <fgColor rgb="FFACB9CA"/>
        <bgColor rgb="FFACB9CA"/>
      </patternFill>
    </fill>
    <fill>
      <patternFill patternType="solid">
        <fgColor rgb="FFCCD8E6"/>
        <bgColor rgb="FFCCD8E6"/>
      </patternFill>
    </fill>
    <fill>
      <patternFill patternType="solid">
        <fgColor rgb="FFEBE6F2"/>
        <bgColor rgb="FFEBE6F2"/>
      </patternFill>
    </fill>
    <fill>
      <patternFill patternType="solid">
        <fgColor rgb="FFDAE1D3"/>
        <bgColor rgb="FFDAE1D3"/>
      </patternFill>
    </fill>
    <fill>
      <patternFill patternType="solid">
        <fgColor rgb="FFC8D2BD"/>
        <bgColor rgb="FFC8D2BD"/>
      </patternFill>
    </fill>
    <fill>
      <patternFill patternType="solid">
        <fgColor rgb="FF7C9263"/>
        <bgColor rgb="FF7C9263"/>
      </patternFill>
    </fill>
    <fill>
      <patternFill patternType="solid">
        <fgColor rgb="FFECF0E9"/>
        <bgColor rgb="FFECF0E9"/>
      </patternFill>
    </fill>
    <fill>
      <patternFill patternType="solid">
        <fgColor rgb="FFFCECDA"/>
        <bgColor rgb="FFFCECDA"/>
      </patternFill>
    </fill>
    <fill>
      <patternFill patternType="solid">
        <fgColor theme="9"/>
        <bgColor theme="9"/>
      </patternFill>
    </fill>
    <fill>
      <patternFill patternType="solid">
        <fgColor rgb="FFFEFAC9"/>
        <bgColor rgb="FFFEFAC9"/>
      </patternFill>
    </fill>
    <fill>
      <patternFill patternType="solid">
        <fgColor rgb="FFFFC7CE"/>
        <bgColor rgb="FFFFC7CE"/>
      </patternFill>
    </fill>
    <fill>
      <patternFill patternType="solid">
        <fgColor rgb="FF92D050"/>
        <bgColor rgb="FF92D050"/>
      </patternFill>
    </fill>
    <fill>
      <patternFill patternType="solid">
        <fgColor rgb="FFD8EEC0"/>
        <bgColor rgb="FFD8EEC0"/>
      </patternFill>
    </fill>
    <fill>
      <patternFill patternType="solid">
        <fgColor rgb="FFFFFF00"/>
        <bgColor rgb="FFFFFF00"/>
      </patternFill>
    </fill>
  </fills>
  <borders count="38">
    <border/>
    <border>
      <left/>
      <right/>
      <top/>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style="thin">
        <color rgb="FF000000"/>
      </right>
      <top/>
      <bottom/>
    </border>
    <border>
      <left style="thin">
        <color rgb="FF000000"/>
      </left>
      <right style="thin">
        <color rgb="FF000000"/>
      </right>
      <top/>
      <bottom style="thin">
        <color rgb="FF000000"/>
      </bottom>
    </border>
    <border>
      <left style="thin">
        <color rgb="FF000000"/>
      </left>
      <top style="thin">
        <color rgb="FF000000"/>
      </top>
      <bottom style="thin">
        <color rgb="FF000000"/>
      </bottom>
    </border>
    <border>
      <left/>
      <right style="thin">
        <color rgb="FF000000"/>
      </righ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top style="thin">
        <color rgb="FF000000"/>
      </top>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top style="thin">
        <color rgb="FF000000"/>
      </top>
    </border>
    <border>
      <left style="thin">
        <color rgb="FF000000"/>
      </left>
      <right style="thin">
        <color rgb="FF000000"/>
      </right>
      <top style="thin">
        <color rgb="FF000000"/>
      </top>
    </border>
    <border>
      <left style="thin">
        <color rgb="FF000000"/>
      </left>
      <top style="thin">
        <color rgb="FF000000"/>
      </top>
    </border>
    <border>
      <right style="thin">
        <color rgb="FF000000"/>
      </right>
    </border>
    <border>
      <left style="thin">
        <color rgb="FF000000"/>
      </left>
      <right style="thin">
        <color rgb="FF000000"/>
      </right>
    </border>
    <border>
      <left style="thin">
        <color rgb="FF000000"/>
      </left>
    </border>
    <border>
      <bottom style="thick">
        <color rgb="FFD1D9C8"/>
      </bottom>
    </border>
    <border>
      <left/>
      <top/>
      <bottom/>
    </border>
    <border>
      <top/>
      <bottom/>
    </border>
    <border>
      <right/>
      <top/>
      <bottom/>
    </border>
    <border>
      <left style="thin">
        <color rgb="FF000000"/>
      </left>
      <right/>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border>
    <border>
      <left style="thin">
        <color rgb="FF000000"/>
      </left>
      <right/>
      <top/>
      <bottom/>
    </border>
    <border>
      <left/>
      <right style="thin">
        <color rgb="FF000000"/>
      </right>
      <top/>
      <bottom/>
    </border>
    <border>
      <bottom style="thin">
        <color rgb="FF000000"/>
      </bottom>
    </border>
    <border>
      <left/>
      <right style="thin">
        <color rgb="FF000000"/>
      </right>
      <top/>
      <bottom style="thin">
        <color rgb="FF000000"/>
      </bottom>
    </border>
    <border>
      <top style="thin">
        <color rgb="FF000000"/>
      </top>
    </border>
    <border>
      <left/>
      <right/>
      <top/>
      <bottom style="thin">
        <color rgb="FF000000"/>
      </bottom>
    </border>
    <border>
      <left/>
      <right/>
      <top style="thin">
        <color rgb="FF000000"/>
      </top>
      <bottom style="thin">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
      <top style="thin">
        <color rgb="FF000000"/>
      </top>
      <bottom style="double">
        <color rgb="FF000000"/>
      </bottom>
    </border>
  </borders>
  <cellStyleXfs count="1">
    <xf borderId="0" fillId="0" fontId="0" numFmtId="0" applyAlignment="1" applyFont="1"/>
  </cellStyleXfs>
  <cellXfs count="252">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1" fillId="2" fontId="3" numFmtId="0" xfId="0" applyBorder="1" applyFont="1"/>
    <xf borderId="2" fillId="3" fontId="2" numFmtId="0" xfId="0" applyAlignment="1" applyBorder="1" applyFill="1" applyFont="1">
      <alignment horizontal="center" vertical="top"/>
    </xf>
    <xf borderId="1" fillId="2" fontId="2" numFmtId="0" xfId="0" applyAlignment="1" applyBorder="1" applyFont="1">
      <alignment vertical="top"/>
    </xf>
    <xf borderId="3" fillId="2" fontId="2" numFmtId="0" xfId="0" applyAlignment="1" applyBorder="1" applyFont="1">
      <alignment horizontal="center" shrinkToFit="0" vertical="top" wrapText="1"/>
    </xf>
    <xf borderId="4" fillId="2" fontId="2" numFmtId="0" xfId="0" applyAlignment="1" applyBorder="1" applyFont="1">
      <alignment horizontal="center" shrinkToFit="0" vertical="top" wrapText="1"/>
    </xf>
    <xf borderId="5" fillId="2" fontId="2" numFmtId="0" xfId="0" applyAlignment="1" applyBorder="1" applyFont="1">
      <alignment horizontal="center" shrinkToFit="0" vertical="top" wrapText="1"/>
    </xf>
    <xf borderId="1" fillId="4" fontId="2" numFmtId="0" xfId="0" applyBorder="1" applyFill="1" applyFont="1"/>
    <xf borderId="1" fillId="2" fontId="4" numFmtId="0" xfId="0" applyBorder="1" applyFont="1"/>
    <xf borderId="1" fillId="5" fontId="2" numFmtId="0" xfId="0" applyBorder="1" applyFill="1" applyFont="1"/>
    <xf borderId="0" fillId="0" fontId="5" numFmtId="0" xfId="0" applyFont="1"/>
    <xf borderId="0" fillId="0" fontId="6" numFmtId="164" xfId="0" applyAlignment="1" applyFont="1" applyNumberFormat="1">
      <alignment readingOrder="0"/>
    </xf>
    <xf borderId="0" fillId="0" fontId="6" numFmtId="165" xfId="0" applyAlignment="1" applyFont="1" applyNumberFormat="1">
      <alignment readingOrder="0"/>
    </xf>
    <xf borderId="6" fillId="0" fontId="2" numFmtId="0" xfId="0" applyBorder="1" applyFont="1"/>
    <xf borderId="7" fillId="6" fontId="2" numFmtId="0" xfId="0" applyAlignment="1" applyBorder="1" applyFill="1" applyFont="1">
      <alignment readingOrder="0"/>
    </xf>
    <xf borderId="0" fillId="0" fontId="7" numFmtId="0" xfId="0" applyFont="1"/>
    <xf borderId="6" fillId="7" fontId="4" numFmtId="0" xfId="0" applyAlignment="1" applyBorder="1" applyFill="1" applyFont="1">
      <alignment horizontal="center" shrinkToFit="0" wrapText="1"/>
    </xf>
    <xf borderId="8" fillId="0" fontId="8" numFmtId="0" xfId="0" applyBorder="1" applyFont="1"/>
    <xf borderId="9" fillId="0" fontId="8" numFmtId="0" xfId="0" applyBorder="1" applyFont="1"/>
    <xf borderId="0" fillId="0" fontId="6" numFmtId="0" xfId="0" applyAlignment="1" applyFont="1">
      <alignment readingOrder="0"/>
    </xf>
    <xf borderId="2" fillId="7" fontId="9" numFmtId="0" xfId="0" applyBorder="1" applyFont="1"/>
    <xf borderId="2" fillId="7" fontId="10" numFmtId="0" xfId="0" applyAlignment="1" applyBorder="1" applyFont="1">
      <alignment shrinkToFit="0" wrapText="1"/>
    </xf>
    <xf borderId="2" fillId="8" fontId="10" numFmtId="0" xfId="0" applyAlignment="1" applyBorder="1" applyFill="1" applyFont="1">
      <alignment shrinkToFit="0" wrapText="1"/>
    </xf>
    <xf borderId="0" fillId="0" fontId="9" numFmtId="0" xfId="0" applyFont="1"/>
    <xf borderId="2" fillId="0" fontId="4" numFmtId="0" xfId="0" applyBorder="1" applyFont="1"/>
    <xf borderId="2" fillId="0" fontId="2" numFmtId="166" xfId="0" applyBorder="1" applyFont="1" applyNumberFormat="1"/>
    <xf borderId="2" fillId="0" fontId="4" numFmtId="166" xfId="0" applyBorder="1" applyFont="1" applyNumberFormat="1"/>
    <xf borderId="0" fillId="0" fontId="11" numFmtId="0" xfId="0" applyFont="1"/>
    <xf borderId="0" fillId="0" fontId="11" numFmtId="0" xfId="0" applyAlignment="1" applyFont="1">
      <alignment readingOrder="0"/>
    </xf>
    <xf borderId="0" fillId="0" fontId="6" numFmtId="1" xfId="0" applyAlignment="1" applyFont="1" applyNumberFormat="1">
      <alignment readingOrder="0"/>
    </xf>
    <xf borderId="6" fillId="4" fontId="4" numFmtId="0" xfId="0" applyAlignment="1" applyBorder="1" applyFont="1">
      <alignment horizontal="center" shrinkToFit="0" wrapText="1"/>
    </xf>
    <xf borderId="2" fillId="4" fontId="9" numFmtId="0" xfId="0" applyBorder="1" applyFont="1"/>
    <xf borderId="2" fillId="4" fontId="10" numFmtId="0" xfId="0" applyAlignment="1" applyBorder="1" applyFont="1">
      <alignment shrinkToFit="0" wrapText="1"/>
    </xf>
    <xf borderId="0" fillId="0" fontId="12" numFmtId="0" xfId="0" applyFont="1"/>
    <xf borderId="0" fillId="0" fontId="4" numFmtId="0" xfId="0" applyFont="1"/>
    <xf borderId="6" fillId="9" fontId="4" numFmtId="0" xfId="0" applyAlignment="1" applyBorder="1" applyFill="1" applyFont="1">
      <alignment horizontal="center" shrinkToFit="0" wrapText="1"/>
    </xf>
    <xf borderId="2" fillId="9" fontId="9" numFmtId="0" xfId="0" applyBorder="1" applyFont="1"/>
    <xf borderId="2" fillId="9" fontId="10" numFmtId="0" xfId="0" applyAlignment="1" applyBorder="1" applyFont="1">
      <alignment shrinkToFit="0" wrapText="1"/>
    </xf>
    <xf borderId="0" fillId="0" fontId="2" numFmtId="0" xfId="0" applyAlignment="1" applyFont="1">
      <alignment vertical="bottom"/>
    </xf>
    <xf borderId="0" fillId="0" fontId="2" numFmtId="1" xfId="0" applyAlignment="1" applyFont="1" applyNumberFormat="1">
      <alignment vertical="bottom"/>
    </xf>
    <xf borderId="0" fillId="0" fontId="2" numFmtId="0" xfId="0" applyAlignment="1" applyFont="1">
      <alignment horizontal="right" vertical="bottom"/>
    </xf>
    <xf borderId="0" fillId="0" fontId="2" numFmtId="1" xfId="0" applyAlignment="1" applyFont="1" applyNumberFormat="1">
      <alignment horizontal="right" vertical="bottom"/>
    </xf>
    <xf borderId="6" fillId="10" fontId="13" numFmtId="0" xfId="0" applyAlignment="1" applyBorder="1" applyFill="1" applyFont="1">
      <alignment horizontal="center"/>
    </xf>
    <xf borderId="7" fillId="6" fontId="2" numFmtId="0" xfId="0" applyBorder="1" applyFont="1"/>
    <xf borderId="0" fillId="0" fontId="4" numFmtId="0" xfId="0" applyAlignment="1" applyFont="1">
      <alignment horizontal="center"/>
    </xf>
    <xf borderId="6" fillId="10" fontId="4" numFmtId="0" xfId="0" applyAlignment="1" applyBorder="1" applyFont="1">
      <alignment horizontal="center"/>
    </xf>
    <xf borderId="6" fillId="10" fontId="4" numFmtId="0" xfId="0" applyAlignment="1" applyBorder="1" applyFont="1">
      <alignment horizontal="center" shrinkToFit="0" wrapText="1"/>
    </xf>
    <xf borderId="6" fillId="11" fontId="4" numFmtId="0" xfId="0" applyAlignment="1" applyBorder="1" applyFill="1" applyFont="1">
      <alignment horizontal="center"/>
    </xf>
    <xf borderId="6" fillId="6" fontId="4" numFmtId="0" xfId="0" applyAlignment="1" applyBorder="1" applyFont="1">
      <alignment horizontal="center"/>
    </xf>
    <xf borderId="2" fillId="10" fontId="14" numFmtId="0" xfId="0" applyBorder="1" applyFont="1"/>
    <xf borderId="2" fillId="10" fontId="14" numFmtId="0" xfId="0" applyAlignment="1" applyBorder="1" applyFont="1">
      <alignment shrinkToFit="0" wrapText="1"/>
    </xf>
    <xf borderId="2" fillId="11" fontId="14" numFmtId="0" xfId="0" applyBorder="1" applyFont="1"/>
    <xf borderId="2" fillId="12" fontId="14" numFmtId="0" xfId="0" applyBorder="1" applyFill="1" applyFont="1"/>
    <xf borderId="2" fillId="6" fontId="14" numFmtId="0" xfId="0" applyAlignment="1" applyBorder="1" applyFont="1">
      <alignment shrinkToFit="0" wrapText="1"/>
    </xf>
    <xf borderId="10" fillId="10" fontId="14" numFmtId="0" xfId="0" applyBorder="1" applyFont="1"/>
    <xf borderId="2" fillId="13" fontId="14" numFmtId="0" xfId="0" applyBorder="1" applyFill="1" applyFont="1"/>
    <xf borderId="11" fillId="0" fontId="2" numFmtId="0" xfId="0" applyBorder="1" applyFont="1"/>
    <xf borderId="12" fillId="0" fontId="2" numFmtId="0" xfId="0" applyBorder="1" applyFont="1"/>
    <xf borderId="12" fillId="0" fontId="2" numFmtId="167" xfId="0" applyBorder="1" applyFont="1" applyNumberFormat="1"/>
    <xf borderId="13" fillId="0" fontId="2" numFmtId="168" xfId="0" applyBorder="1" applyFont="1" applyNumberFormat="1"/>
    <xf borderId="13" fillId="0" fontId="2" numFmtId="167" xfId="0" applyBorder="1" applyFont="1" applyNumberFormat="1"/>
    <xf borderId="6" fillId="0" fontId="15" numFmtId="0" xfId="0" applyBorder="1" applyFont="1"/>
    <xf borderId="2" fillId="0" fontId="2" numFmtId="0" xfId="0" applyBorder="1" applyFont="1"/>
    <xf borderId="9" fillId="0" fontId="2" numFmtId="0" xfId="0" applyBorder="1" applyFont="1"/>
    <xf borderId="2" fillId="0" fontId="2" numFmtId="167" xfId="0" applyBorder="1" applyFont="1" applyNumberFormat="1"/>
    <xf borderId="6" fillId="0" fontId="2" numFmtId="168" xfId="0" applyBorder="1" applyFont="1" applyNumberFormat="1"/>
    <xf borderId="6" fillId="0" fontId="2" numFmtId="167" xfId="0" applyBorder="1" applyFont="1" applyNumberFormat="1"/>
    <xf borderId="6" fillId="0" fontId="2" numFmtId="2" xfId="0" applyBorder="1" applyFont="1" applyNumberFormat="1"/>
    <xf borderId="2" fillId="14" fontId="2" numFmtId="0" xfId="0" applyBorder="1" applyFill="1" applyFont="1"/>
    <xf borderId="6" fillId="0" fontId="16" numFmtId="0" xfId="0" applyBorder="1" applyFont="1"/>
    <xf borderId="2" fillId="0" fontId="2" numFmtId="0" xfId="0" applyAlignment="1" applyBorder="1" applyFont="1">
      <alignment shrinkToFit="0" wrapText="1"/>
    </xf>
    <xf borderId="7" fillId="6" fontId="4" numFmtId="0" xfId="0" applyBorder="1" applyFont="1"/>
    <xf borderId="2" fillId="6" fontId="2" numFmtId="0" xfId="0" applyBorder="1" applyFont="1"/>
    <xf borderId="2" fillId="6" fontId="4" numFmtId="0" xfId="0" applyBorder="1" applyFont="1"/>
    <xf borderId="2" fillId="6" fontId="2" numFmtId="167" xfId="0" applyBorder="1" applyFont="1" applyNumberFormat="1"/>
    <xf borderId="2" fillId="6" fontId="2" numFmtId="168" xfId="0" applyBorder="1" applyFont="1" applyNumberFormat="1"/>
    <xf borderId="0" fillId="0" fontId="6" numFmtId="0" xfId="0" applyFont="1"/>
    <xf borderId="2" fillId="6" fontId="17" numFmtId="0" xfId="0" applyBorder="1" applyFont="1"/>
    <xf borderId="5" fillId="6" fontId="2" numFmtId="0" xfId="0" applyBorder="1" applyFont="1"/>
    <xf borderId="14" fillId="0" fontId="2" numFmtId="0" xfId="0" applyBorder="1" applyFont="1"/>
    <xf borderId="15" fillId="0" fontId="2" numFmtId="0" xfId="0" applyBorder="1" applyFont="1"/>
    <xf borderId="7" fillId="6" fontId="2" numFmtId="0" xfId="0" applyBorder="1" applyFont="1"/>
    <xf borderId="6" fillId="0" fontId="18" numFmtId="0" xfId="0" applyBorder="1" applyFont="1"/>
    <xf borderId="6" fillId="0" fontId="2" numFmtId="0" xfId="0" applyBorder="1" applyFont="1"/>
    <xf borderId="7" fillId="6" fontId="17" numFmtId="0" xfId="0" applyBorder="1" applyFont="1"/>
    <xf borderId="16" fillId="0" fontId="19" numFmtId="0" xfId="0" applyBorder="1" applyFont="1"/>
    <xf borderId="17" fillId="0" fontId="2" numFmtId="0" xfId="0" applyBorder="1" applyFont="1"/>
    <xf borderId="18" fillId="0" fontId="2" numFmtId="0" xfId="0" applyBorder="1" applyFont="1"/>
    <xf borderId="0" fillId="0" fontId="2" numFmtId="167" xfId="0" applyFont="1" applyNumberFormat="1"/>
    <xf borderId="18" fillId="0" fontId="2" numFmtId="167" xfId="0" applyBorder="1" applyFont="1" applyNumberFormat="1"/>
    <xf borderId="4" fillId="15" fontId="20" numFmtId="166" xfId="0" applyBorder="1" applyFill="1" applyFont="1" applyNumberFormat="1"/>
    <xf borderId="19" fillId="0" fontId="21" numFmtId="0" xfId="0" applyBorder="1" applyFont="1"/>
    <xf borderId="0" fillId="0" fontId="2" numFmtId="166" xfId="0" applyFont="1" applyNumberFormat="1"/>
    <xf borderId="0" fillId="0" fontId="2" numFmtId="0" xfId="0" applyFont="1"/>
    <xf borderId="1" fillId="15" fontId="20" numFmtId="166" xfId="0" applyBorder="1" applyFont="1" applyNumberFormat="1"/>
    <xf borderId="2" fillId="10" fontId="4" numFmtId="0" xfId="0" applyAlignment="1" applyBorder="1" applyFont="1">
      <alignment horizontal="center"/>
    </xf>
    <xf borderId="2" fillId="10" fontId="14" numFmtId="0" xfId="0" applyAlignment="1" applyBorder="1" applyFont="1">
      <alignment horizontal="left" vertical="top"/>
    </xf>
    <xf borderId="2" fillId="10" fontId="14" numFmtId="0" xfId="0" applyAlignment="1" applyBorder="1" applyFont="1">
      <alignment horizontal="left" shrinkToFit="0" vertical="top" wrapText="1"/>
    </xf>
    <xf borderId="2" fillId="11" fontId="14" numFmtId="0" xfId="0" applyAlignment="1" applyBorder="1" applyFont="1">
      <alignment horizontal="left" vertical="top"/>
    </xf>
    <xf borderId="2" fillId="12" fontId="14" numFmtId="0" xfId="0" applyAlignment="1" applyBorder="1" applyFont="1">
      <alignment horizontal="left" vertical="top"/>
    </xf>
    <xf borderId="2" fillId="6" fontId="14" numFmtId="0" xfId="0" applyAlignment="1" applyBorder="1" applyFont="1">
      <alignment horizontal="left" shrinkToFit="0" vertical="top" wrapText="1"/>
    </xf>
    <xf borderId="2" fillId="16" fontId="14" numFmtId="0" xfId="0" applyAlignment="1" applyBorder="1" applyFill="1" applyFont="1">
      <alignment horizontal="left" shrinkToFit="0" vertical="top" wrapText="1"/>
    </xf>
    <xf borderId="1" fillId="17" fontId="2" numFmtId="0" xfId="0" applyBorder="1" applyFill="1" applyFont="1"/>
    <xf borderId="1" fillId="18" fontId="4" numFmtId="0" xfId="0" applyBorder="1" applyFill="1" applyFont="1"/>
    <xf borderId="20" fillId="0" fontId="22" numFmtId="0" xfId="0" applyBorder="1" applyFont="1"/>
    <xf borderId="0" fillId="0" fontId="6" numFmtId="0" xfId="0" applyFont="1"/>
    <xf borderId="1" fillId="19" fontId="2" numFmtId="0" xfId="0" applyBorder="1" applyFill="1" applyFont="1"/>
    <xf borderId="1" fillId="13" fontId="2" numFmtId="0" xfId="0" applyBorder="1" applyFont="1"/>
    <xf borderId="0" fillId="0" fontId="23" numFmtId="0" xfId="0" applyFont="1"/>
    <xf borderId="0" fillId="0" fontId="13" numFmtId="0" xfId="0" applyFont="1"/>
    <xf borderId="21" fillId="20" fontId="24" numFmtId="0" xfId="0" applyAlignment="1" applyBorder="1" applyFill="1" applyFont="1">
      <alignment horizontal="center"/>
    </xf>
    <xf borderId="22" fillId="0" fontId="8" numFmtId="0" xfId="0" applyBorder="1" applyFont="1"/>
    <xf borderId="23" fillId="0" fontId="8" numFmtId="0" xfId="0" applyBorder="1" applyFont="1"/>
    <xf borderId="0" fillId="0" fontId="2" numFmtId="0" xfId="0" applyAlignment="1" applyFont="1">
      <alignment horizontal="left" shrinkToFit="0" vertical="top" wrapText="1"/>
    </xf>
    <xf borderId="1" fillId="20" fontId="24" numFmtId="0" xfId="0" applyBorder="1" applyFont="1"/>
    <xf borderId="0" fillId="0" fontId="25" numFmtId="0" xfId="0" applyFont="1"/>
    <xf borderId="24" fillId="13" fontId="14" numFmtId="0" xfId="0" applyBorder="1" applyFont="1"/>
    <xf borderId="9" fillId="0" fontId="18" numFmtId="0" xfId="0" applyBorder="1" applyFont="1"/>
    <xf borderId="2" fillId="0" fontId="18" numFmtId="0" xfId="0" applyBorder="1" applyFont="1"/>
    <xf borderId="14" fillId="0" fontId="18" numFmtId="0" xfId="0" applyBorder="1" applyFont="1"/>
    <xf borderId="15" fillId="0" fontId="18" numFmtId="0" xfId="0" applyBorder="1" applyFont="1"/>
    <xf borderId="15" fillId="0" fontId="2" numFmtId="167" xfId="0" applyBorder="1" applyFont="1" applyNumberFormat="1"/>
    <xf borderId="16" fillId="0" fontId="2" numFmtId="0" xfId="0" applyBorder="1" applyFont="1"/>
    <xf borderId="0" fillId="0" fontId="18" numFmtId="0" xfId="0" applyFont="1"/>
    <xf borderId="0" fillId="0" fontId="24" numFmtId="0" xfId="0" applyFont="1"/>
    <xf borderId="1" fillId="15" fontId="26" numFmtId="166" xfId="0" applyBorder="1" applyFont="1" applyNumberFormat="1"/>
    <xf borderId="0" fillId="0" fontId="2" numFmtId="2" xfId="0" applyFont="1" applyNumberFormat="1"/>
    <xf borderId="2" fillId="11" fontId="14" numFmtId="0" xfId="0" applyAlignment="1" applyBorder="1" applyFont="1">
      <alignment shrinkToFit="0" wrapText="1"/>
    </xf>
    <xf borderId="5" fillId="6" fontId="14" numFmtId="0" xfId="0" applyAlignment="1" applyBorder="1" applyFont="1">
      <alignment shrinkToFit="0" wrapText="1"/>
    </xf>
    <xf borderId="2" fillId="16" fontId="14" numFmtId="0" xfId="0" applyAlignment="1" applyBorder="1" applyFont="1">
      <alignment shrinkToFit="0" wrapText="1"/>
    </xf>
    <xf borderId="5" fillId="13" fontId="14" numFmtId="0" xfId="0" applyBorder="1" applyFont="1"/>
    <xf borderId="7" fillId="13" fontId="4" numFmtId="0" xfId="0" applyBorder="1" applyFont="1"/>
    <xf borderId="25" fillId="21" fontId="2" numFmtId="0" xfId="0" applyBorder="1" applyFill="1" applyFont="1"/>
    <xf borderId="2" fillId="21" fontId="2" numFmtId="167" xfId="0" applyBorder="1" applyFont="1" applyNumberFormat="1"/>
    <xf borderId="2" fillId="0" fontId="27" numFmtId="167" xfId="0" applyBorder="1" applyFont="1" applyNumberFormat="1"/>
    <xf borderId="2" fillId="14" fontId="18" numFmtId="0" xfId="0" applyBorder="1" applyFont="1"/>
    <xf borderId="15" fillId="0" fontId="28" numFmtId="167" xfId="0" applyBorder="1" applyFont="1" applyNumberFormat="1"/>
    <xf borderId="3" fillId="15" fontId="20" numFmtId="166" xfId="0" applyBorder="1" applyFont="1" applyNumberFormat="1"/>
    <xf borderId="0" fillId="0" fontId="29" numFmtId="0" xfId="0" applyFont="1"/>
    <xf borderId="3" fillId="22" fontId="4" numFmtId="0" xfId="0" applyBorder="1" applyFill="1" applyFont="1"/>
    <xf borderId="6" fillId="0" fontId="4" numFmtId="0" xfId="0" applyAlignment="1" applyBorder="1" applyFont="1">
      <alignment horizontal="center" shrinkToFit="0" wrapText="1"/>
    </xf>
    <xf borderId="2" fillId="23" fontId="4" numFmtId="0" xfId="0" applyBorder="1" applyFill="1" applyFont="1"/>
    <xf borderId="2" fillId="0" fontId="2" numFmtId="0" xfId="0" applyAlignment="1" applyBorder="1" applyFont="1">
      <alignment shrinkToFit="0" wrapText="1"/>
    </xf>
    <xf borderId="0" fillId="0" fontId="30" numFmtId="0" xfId="0" applyFont="1"/>
    <xf borderId="2" fillId="24" fontId="4" numFmtId="0" xfId="0" applyBorder="1" applyFill="1" applyFont="1"/>
    <xf borderId="26" fillId="25" fontId="14" numFmtId="0" xfId="0" applyBorder="1" applyFill="1" applyFont="1"/>
    <xf borderId="3" fillId="25" fontId="14" numFmtId="0" xfId="0" applyBorder="1" applyFont="1"/>
    <xf borderId="10" fillId="25" fontId="14" numFmtId="0" xfId="0" applyBorder="1" applyFont="1"/>
    <xf borderId="27" fillId="23" fontId="4" numFmtId="0" xfId="0" applyBorder="1" applyFont="1"/>
    <xf borderId="0" fillId="0" fontId="2" numFmtId="0" xfId="0" applyFont="1"/>
    <xf borderId="0" fillId="0" fontId="31" numFmtId="0" xfId="0" applyFont="1"/>
    <xf borderId="0" fillId="0" fontId="31" numFmtId="166" xfId="0" applyFont="1" applyNumberFormat="1"/>
    <xf borderId="0" fillId="0" fontId="4" numFmtId="1" xfId="0" applyFont="1" applyNumberFormat="1"/>
    <xf borderId="18" fillId="0" fontId="31" numFmtId="9" xfId="0" applyBorder="1" applyFont="1" applyNumberFormat="1"/>
    <xf borderId="28" fillId="26" fontId="2" numFmtId="0" xfId="0" applyBorder="1" applyFill="1" applyFont="1"/>
    <xf borderId="27" fillId="24" fontId="4" numFmtId="0" xfId="0" applyBorder="1" applyFont="1"/>
    <xf borderId="24" fillId="24" fontId="4" numFmtId="0" xfId="0" applyBorder="1" applyFont="1"/>
    <xf borderId="29" fillId="0" fontId="2" numFmtId="0" xfId="0" applyBorder="1" applyFont="1"/>
    <xf borderId="29" fillId="0" fontId="31" numFmtId="169" xfId="0" applyBorder="1" applyFont="1" applyNumberFormat="1"/>
    <xf borderId="29" fillId="0" fontId="31" numFmtId="0" xfId="0" applyBorder="1" applyFont="1"/>
    <xf borderId="29" fillId="0" fontId="31" numFmtId="166" xfId="0" applyBorder="1" applyFont="1" applyNumberFormat="1"/>
    <xf borderId="29" fillId="0" fontId="4" numFmtId="1" xfId="0" applyBorder="1" applyFont="1" applyNumberFormat="1"/>
    <xf borderId="12" fillId="0" fontId="31" numFmtId="9" xfId="0" applyBorder="1" applyFont="1" applyNumberFormat="1"/>
    <xf borderId="30" fillId="26" fontId="2" numFmtId="0" xfId="0" applyBorder="1" applyFont="1"/>
    <xf borderId="16" fillId="0" fontId="31" numFmtId="0" xfId="0" applyBorder="1" applyFont="1"/>
    <xf borderId="31" fillId="0" fontId="31" numFmtId="0" xfId="0" applyBorder="1" applyFont="1"/>
    <xf borderId="10" fillId="19" fontId="31" numFmtId="0" xfId="0" applyBorder="1" applyFont="1"/>
    <xf borderId="14" fillId="0" fontId="31" numFmtId="0" xfId="0" applyBorder="1" applyFont="1"/>
    <xf borderId="13" fillId="0" fontId="4" numFmtId="0" xfId="0" applyBorder="1" applyFont="1"/>
    <xf borderId="29" fillId="0" fontId="4" numFmtId="0" xfId="0" applyBorder="1" applyFont="1"/>
    <xf borderId="32" fillId="19" fontId="4" numFmtId="0" xfId="0" applyBorder="1" applyFont="1"/>
    <xf borderId="11" fillId="0" fontId="2" numFmtId="0" xfId="0" applyBorder="1" applyFont="1"/>
    <xf borderId="2" fillId="27" fontId="2" numFmtId="166" xfId="0" applyBorder="1" applyFill="1" applyFont="1" applyNumberFormat="1"/>
    <xf borderId="0" fillId="0" fontId="32" numFmtId="0" xfId="0" applyFont="1"/>
    <xf borderId="0" fillId="0" fontId="2" numFmtId="0" xfId="0" applyAlignment="1" applyFont="1">
      <alignment horizontal="center"/>
    </xf>
    <xf borderId="4" fillId="10" fontId="24" numFmtId="0" xfId="0" applyBorder="1" applyFont="1"/>
    <xf borderId="5" fillId="6" fontId="24" numFmtId="0" xfId="0" applyAlignment="1" applyBorder="1" applyFont="1">
      <alignment shrinkToFit="0" wrapText="1"/>
    </xf>
    <xf borderId="5" fillId="19" fontId="24" numFmtId="0" xfId="0" applyAlignment="1" applyBorder="1" applyFont="1">
      <alignment shrinkToFit="0" wrapText="1"/>
    </xf>
    <xf borderId="5" fillId="28" fontId="24" numFmtId="0" xfId="0" applyAlignment="1" applyBorder="1" applyFill="1" applyFont="1">
      <alignment shrinkToFit="0" wrapText="1"/>
    </xf>
    <xf borderId="5" fillId="15" fontId="20" numFmtId="0" xfId="0" applyAlignment="1" applyBorder="1" applyFont="1">
      <alignment shrinkToFit="0" wrapText="1"/>
    </xf>
    <xf borderId="0" fillId="0" fontId="33" numFmtId="0" xfId="0" applyFont="1"/>
    <xf borderId="0" fillId="0" fontId="2" numFmtId="11" xfId="0" applyFont="1" applyNumberFormat="1"/>
    <xf borderId="2" fillId="0" fontId="2" numFmtId="0" xfId="0" applyBorder="1" applyFont="1"/>
    <xf borderId="5" fillId="19" fontId="34" numFmtId="0" xfId="0" applyBorder="1" applyFont="1"/>
    <xf borderId="12" fillId="0" fontId="18" numFmtId="0" xfId="0" applyBorder="1" applyFont="1"/>
    <xf borderId="12" fillId="0" fontId="7" numFmtId="0" xfId="0" applyBorder="1" applyFont="1"/>
    <xf borderId="12" fillId="0" fontId="2" numFmtId="0" xfId="0" applyBorder="1" applyFont="1"/>
    <xf borderId="12" fillId="0" fontId="2" numFmtId="166" xfId="0" applyBorder="1" applyFont="1" applyNumberFormat="1"/>
    <xf borderId="5" fillId="19" fontId="4" numFmtId="167" xfId="0" applyAlignment="1" applyBorder="1" applyFont="1" applyNumberFormat="1">
      <alignment horizontal="center" vertical="center"/>
    </xf>
    <xf borderId="0" fillId="0" fontId="2" numFmtId="2" xfId="0" applyFont="1" applyNumberFormat="1"/>
    <xf borderId="0" fillId="0" fontId="35" numFmtId="2" xfId="0" applyFont="1" applyNumberFormat="1"/>
    <xf borderId="0" fillId="0" fontId="2" numFmtId="167" xfId="0" applyFont="1" applyNumberFormat="1"/>
    <xf borderId="2" fillId="19" fontId="36" numFmtId="0" xfId="0" applyBorder="1" applyFont="1"/>
    <xf borderId="2" fillId="0" fontId="7" numFmtId="0" xfId="0" applyBorder="1" applyFont="1"/>
    <xf borderId="2" fillId="0" fontId="2" numFmtId="2" xfId="0" applyBorder="1" applyFont="1" applyNumberFormat="1"/>
    <xf borderId="2" fillId="19" fontId="4" numFmtId="167" xfId="0" applyAlignment="1" applyBorder="1" applyFont="1" applyNumberFormat="1">
      <alignment horizontal="center" vertical="center"/>
    </xf>
    <xf borderId="15" fillId="0" fontId="2" numFmtId="0" xfId="0" applyBorder="1" applyFont="1"/>
    <xf borderId="3" fillId="19" fontId="37" numFmtId="0" xfId="0" applyBorder="1" applyFont="1"/>
    <xf borderId="18" fillId="0" fontId="18" numFmtId="0" xfId="0" applyBorder="1" applyFont="1"/>
    <xf borderId="15" fillId="0" fontId="7" numFmtId="0" xfId="0" applyBorder="1" applyFont="1"/>
    <xf borderId="15" fillId="0" fontId="2" numFmtId="2" xfId="0" applyBorder="1" applyFont="1" applyNumberFormat="1"/>
    <xf borderId="15" fillId="0" fontId="2" numFmtId="170" xfId="0" applyBorder="1" applyFont="1" applyNumberFormat="1"/>
    <xf borderId="3" fillId="19" fontId="4" numFmtId="167" xfId="0" applyAlignment="1" applyBorder="1" applyFont="1" applyNumberFormat="1">
      <alignment horizontal="center" vertical="center"/>
    </xf>
    <xf borderId="4" fillId="19" fontId="4" numFmtId="167" xfId="0" applyAlignment="1" applyBorder="1" applyFont="1" applyNumberFormat="1">
      <alignment horizontal="center" vertical="center"/>
    </xf>
    <xf borderId="2" fillId="0" fontId="18" numFmtId="0" xfId="0" applyBorder="1" applyFont="1"/>
    <xf borderId="2" fillId="0" fontId="2" numFmtId="170" xfId="0" applyBorder="1" applyFont="1" applyNumberFormat="1"/>
    <xf borderId="2" fillId="0" fontId="2" numFmtId="2" xfId="0" applyAlignment="1" applyBorder="1" applyFont="1" applyNumberFormat="1">
      <alignment horizontal="center" vertical="center"/>
    </xf>
    <xf quotePrefix="1" borderId="2" fillId="0" fontId="2" numFmtId="2" xfId="0" applyAlignment="1" applyBorder="1" applyFont="1" applyNumberFormat="1">
      <alignment horizontal="center" vertical="center"/>
    </xf>
    <xf borderId="2" fillId="13" fontId="2" numFmtId="2" xfId="0" applyAlignment="1" applyBorder="1" applyFont="1" applyNumberFormat="1">
      <alignment horizontal="center" vertical="center"/>
    </xf>
    <xf borderId="2" fillId="0" fontId="38" numFmtId="0" xfId="0" applyBorder="1" applyFont="1"/>
    <xf borderId="2" fillId="0" fontId="2" numFmtId="167" xfId="0" applyBorder="1" applyFont="1" applyNumberFormat="1"/>
    <xf borderId="2" fillId="0" fontId="2" numFmtId="2" xfId="0" applyAlignment="1" applyBorder="1" applyFont="1" applyNumberFormat="1">
      <alignment horizontal="right" vertical="center"/>
    </xf>
    <xf borderId="0" fillId="0" fontId="2" numFmtId="11" xfId="0" applyFont="1" applyNumberFormat="1"/>
    <xf borderId="2" fillId="19" fontId="2" numFmtId="0" xfId="0" applyBorder="1" applyFont="1"/>
    <xf borderId="2" fillId="0" fontId="39" numFmtId="0" xfId="0" applyBorder="1" applyFont="1"/>
    <xf borderId="2" fillId="19" fontId="40" numFmtId="0" xfId="0" applyBorder="1" applyFont="1"/>
    <xf borderId="2" fillId="29" fontId="7" numFmtId="0" xfId="0" applyBorder="1" applyFill="1" applyFont="1"/>
    <xf borderId="2" fillId="29" fontId="2" numFmtId="0" xfId="0" applyBorder="1" applyFont="1"/>
    <xf borderId="2" fillId="29" fontId="2" numFmtId="2" xfId="0" applyBorder="1" applyFont="1" applyNumberFormat="1"/>
    <xf borderId="2" fillId="30" fontId="17" numFmtId="167" xfId="0" applyAlignment="1" applyBorder="1" applyFill="1" applyFont="1" applyNumberFormat="1">
      <alignment horizontal="center" vertical="center"/>
    </xf>
    <xf borderId="2" fillId="0" fontId="41" numFmtId="0" xfId="0" applyBorder="1" applyFont="1"/>
    <xf borderId="2" fillId="6" fontId="2" numFmtId="0" xfId="0" applyBorder="1" applyFont="1"/>
    <xf borderId="2" fillId="6" fontId="2" numFmtId="167" xfId="0" applyBorder="1" applyFont="1" applyNumberFormat="1"/>
    <xf borderId="2" fillId="6" fontId="2" numFmtId="2" xfId="0" applyBorder="1" applyFont="1" applyNumberFormat="1"/>
    <xf borderId="2" fillId="17" fontId="2" numFmtId="0" xfId="0" applyBorder="1" applyFont="1"/>
    <xf borderId="2" fillId="13" fontId="2" numFmtId="0" xfId="0" applyBorder="1" applyFont="1"/>
    <xf borderId="2" fillId="6" fontId="2" numFmtId="2" xfId="0" applyAlignment="1" applyBorder="1" applyFont="1" applyNumberFormat="1">
      <alignment horizontal="center" vertical="center"/>
    </xf>
    <xf borderId="2" fillId="27" fontId="42" numFmtId="0" xfId="0" applyBorder="1" applyFont="1"/>
    <xf borderId="0" fillId="0" fontId="6" numFmtId="11" xfId="0" applyFont="1" applyNumberFormat="1"/>
    <xf borderId="2" fillId="6" fontId="24" numFmtId="0" xfId="0" applyAlignment="1" applyBorder="1" applyFont="1">
      <alignment shrinkToFit="0" wrapText="1"/>
    </xf>
    <xf borderId="5" fillId="19" fontId="2" numFmtId="0" xfId="0" applyAlignment="1" applyBorder="1" applyFont="1">
      <alignment horizontal="left" vertical="center"/>
    </xf>
    <xf borderId="5" fillId="19" fontId="2" numFmtId="0" xfId="0" applyAlignment="1" applyBorder="1" applyFont="1">
      <alignment horizontal="center" vertical="center"/>
    </xf>
    <xf borderId="2" fillId="19" fontId="2" numFmtId="0" xfId="0" applyAlignment="1" applyBorder="1" applyFont="1">
      <alignment horizontal="center" vertical="center"/>
    </xf>
    <xf borderId="2" fillId="19" fontId="2" numFmtId="0" xfId="0" applyAlignment="1" applyBorder="1" applyFont="1">
      <alignment horizontal="center"/>
    </xf>
    <xf borderId="25" fillId="31" fontId="4" numFmtId="0" xfId="0" applyBorder="1" applyFill="1" applyFont="1"/>
    <xf borderId="7" fillId="31" fontId="4" numFmtId="0" xfId="0" applyBorder="1" applyFont="1"/>
    <xf borderId="2" fillId="31" fontId="4" numFmtId="0" xfId="0" applyBorder="1" applyFont="1"/>
    <xf borderId="33" fillId="31" fontId="4" numFmtId="0" xfId="0" applyBorder="1" applyFont="1"/>
    <xf borderId="2" fillId="26" fontId="2" numFmtId="0" xfId="0" applyBorder="1" applyFont="1"/>
    <xf borderId="2" fillId="32" fontId="2" numFmtId="0" xfId="0" applyBorder="1" applyFill="1" applyFont="1"/>
    <xf borderId="2" fillId="14" fontId="2" numFmtId="0" xfId="0" applyBorder="1" applyFont="1"/>
    <xf borderId="2" fillId="26" fontId="11" numFmtId="0" xfId="0" applyBorder="1" applyFont="1"/>
    <xf borderId="34" fillId="0" fontId="2" numFmtId="0" xfId="0" applyBorder="1" applyFont="1"/>
    <xf borderId="35" fillId="0" fontId="2" numFmtId="0" xfId="0" applyBorder="1" applyFont="1"/>
    <xf borderId="36" fillId="33" fontId="2" numFmtId="0" xfId="0" applyBorder="1" applyFill="1" applyFont="1"/>
    <xf borderId="2" fillId="0" fontId="16" numFmtId="0" xfId="0" applyBorder="1" applyFont="1"/>
    <xf borderId="0" fillId="0" fontId="2" numFmtId="9" xfId="0" applyFont="1" applyNumberFormat="1"/>
    <xf borderId="0" fillId="0" fontId="43" numFmtId="0" xfId="0" applyFont="1"/>
    <xf borderId="37" fillId="0" fontId="2" numFmtId="0" xfId="0" applyBorder="1" applyFont="1"/>
    <xf borderId="0" fillId="0" fontId="16" numFmtId="0" xfId="0" applyFont="1"/>
  </cellXfs>
  <cellStyles count="1">
    <cellStyle xfId="0" name="Normal" builtinId="0"/>
  </cellStyles>
  <dxfs count="5">
    <dxf>
      <font/>
      <fill>
        <patternFill patternType="none"/>
      </fill>
      <border/>
    </dxf>
    <dxf>
      <font/>
      <fill>
        <patternFill patternType="solid">
          <fgColor theme="4"/>
          <bgColor theme="4"/>
        </patternFill>
      </fill>
      <border/>
    </dxf>
    <dxf>
      <font/>
      <fill>
        <patternFill patternType="solid">
          <fgColor rgb="FFECF0E9"/>
          <bgColor rgb="FFECF0E9"/>
        </patternFill>
      </fill>
      <border/>
    </dxf>
    <dxf>
      <font/>
      <fill>
        <patternFill patternType="solid">
          <fgColor theme="0"/>
          <bgColor theme="0"/>
        </patternFill>
      </fill>
      <border/>
    </dxf>
    <dxf>
      <font>
        <color rgb="FF9C0006"/>
      </font>
      <fill>
        <patternFill patternType="solid">
          <fgColor rgb="FFFFC7CE"/>
          <bgColor rgb="FFFFC7CE"/>
        </patternFill>
      </fill>
      <border/>
    </dxf>
  </dxfs>
  <tableStyles count="9">
    <tableStyle count="4" pivot="0" name="Base case- rivet bad gjenbruk-style">
      <tableStyleElement dxfId="1" type="headerRow"/>
      <tableStyleElement dxfId="2" type="firstRowStripe"/>
      <tableStyleElement dxfId="3" type="secondRowStripe"/>
      <tableStyleElement dxfId="3" type="totalRow"/>
    </tableStyle>
    <tableStyle count="4" pivot="0" name="Base case- rivet bad-style">
      <tableStyleElement dxfId="1" type="headerRow"/>
      <tableStyleElement dxfId="2" type="firstRowStripe"/>
      <tableStyleElement dxfId="3" type="secondRowStripe"/>
      <tableStyleElement dxfId="3" type="totalRow"/>
    </tableStyle>
    <tableStyle count="3" pivot="0" name="M-TEK manipulated-style">
      <tableStyleElement dxfId="1" type="headerRow"/>
      <tableStyleElement dxfId="2" type="firstRowStripe"/>
      <tableStyleElement dxfId="3" type="secondRowStripe"/>
    </tableStyle>
    <tableStyle count="4" pivot="0" name="M-TEK manipulated-style 2">
      <tableStyleElement dxfId="1" type="headerRow"/>
      <tableStyleElement dxfId="2" type="firstRowStripe"/>
      <tableStyleElement dxfId="3" type="secondRowStripe"/>
      <tableStyleElement dxfId="3" type="totalRow"/>
    </tableStyle>
    <tableStyle count="3" pivot="0" name="Transport manipulated-style">
      <tableStyleElement dxfId="1" type="headerRow"/>
      <tableStyleElement dxfId="2" type="firstRowStripe"/>
      <tableStyleElement dxfId="3" type="secondRowStripe"/>
    </tableStyle>
    <tableStyle count="3" pivot="0" name="EPD data-style">
      <tableStyleElement dxfId="1" type="headerRow"/>
      <tableStyleElement dxfId="2" type="firstRowStripe"/>
      <tableStyleElement dxfId="3" type="secondRowStripe"/>
    </tableStyle>
    <tableStyle count="3" pivot="0" name="EPD data-style 2">
      <tableStyleElement dxfId="1" type="headerRow"/>
      <tableStyleElement dxfId="2" type="firstRowStripe"/>
      <tableStyleElement dxfId="3" type="secondRowStripe"/>
    </tableStyle>
    <tableStyle count="3" pivot="0" name="EPD overview-style">
      <tableStyleElement dxfId="1" type="headerRow"/>
      <tableStyleElement dxfId="2" type="firstRowStripe"/>
      <tableStyleElement dxfId="3" type="secondRowStripe"/>
    </tableStyle>
    <tableStyle count="3" pivot="0" name="EPD overview-style 2">
      <tableStyleElement dxfId="1" type="headerRow"/>
      <tableStyleElement dxfId="2" type="firstRowStripe"/>
      <tableStyleElement dxfId="3" type="secondRowStripe"/>
    </tableStyle>
  </tableStyle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comments5.xml.rels><?xml version="1.0" encoding="UTF-8" standalone="yes"?><Relationships xmlns="http://schemas.openxmlformats.org/package/2006/relationships"><Relationship Id="rId1" Type="http://customschemas.google.com/relationships/workbookmetadata" Target="commentsmeta4"/></Relationships>
</file>

<file path=xl/_rels/comments6.xml.rels><?xml version="1.0" encoding="UTF-8" standalone="yes"?><Relationships xmlns="http://schemas.openxmlformats.org/package/2006/relationships"><Relationship Id="rId1" Type="http://customschemas.google.com/relationships/workbookmetadata" Target="commentsmeta5"/></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customschemas.google.com/relationships/workbookmetadata" Target="metadata"/><Relationship Id="rId18" Type="http://schemas.openxmlformats.org/officeDocument/2006/relationships/worksheet" Target="worksheets/sheet1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757575"/>
                </a:solidFill>
                <a:latin typeface="+mn-lt"/>
              </a:defRPr>
            </a:pPr>
            <a:r>
              <a:rPr b="1" i="0" sz="1800">
                <a:solidFill>
                  <a:srgbClr val="757575"/>
                </a:solidFill>
                <a:latin typeface="+mn-lt"/>
              </a:rPr>
              <a:t>KOMPARATIVe UTSLIPP SCENARIO 1  (kgCO2e)</a:t>
            </a:r>
          </a:p>
        </c:rich>
      </c:tx>
      <c:overlay val="0"/>
    </c:title>
    <c:plotArea>
      <c:layout/>
      <c:barChart>
        <c:barDir val="col"/>
        <c:grouping val="stacked"/>
        <c:ser>
          <c:idx val="0"/>
          <c:order val="0"/>
          <c:tx>
            <c:v>Materiale (A1-A4), kgCO2e</c:v>
          </c:tx>
          <c:spPr>
            <a:solidFill>
              <a:schemeClr val="accent1"/>
            </a:solidFill>
            <a:ln cmpd="sng">
              <a:solidFill>
                <a:srgbClr val="000000"/>
              </a:solidFill>
            </a:ln>
          </c:spPr>
          <c:cat>
            <c:strRef>
              <c:f>'Resultat - M-tek'!$A$27:$A$29</c:f>
            </c:strRef>
          </c:cat>
          <c:val>
            <c:numRef>
              <c:f>'Resultat - M-tek'!$B$27:$B$29</c:f>
              <c:numCache/>
            </c:numRef>
          </c:val>
        </c:ser>
        <c:ser>
          <c:idx val="1"/>
          <c:order val="1"/>
          <c:tx>
            <c:v>Transport, kgCO2e</c:v>
          </c:tx>
          <c:spPr>
            <a:solidFill>
              <a:schemeClr val="accent2"/>
            </a:solidFill>
            <a:ln cmpd="sng">
              <a:solidFill>
                <a:srgbClr val="000000"/>
              </a:solidFill>
            </a:ln>
          </c:spPr>
          <c:cat>
            <c:strRef>
              <c:f>'Resultat - M-tek'!$A$27:$A$29</c:f>
            </c:strRef>
          </c:cat>
          <c:val>
            <c:numRef>
              <c:f>'Resultat - M-tek'!$C$27:$C$29</c:f>
              <c:numCache/>
            </c:numRef>
          </c:val>
        </c:ser>
        <c:ser>
          <c:idx val="2"/>
          <c:order val="2"/>
          <c:tx>
            <c:v>Avfall (C1-C4), kgCO2e</c:v>
          </c:tx>
          <c:spPr>
            <a:solidFill>
              <a:schemeClr val="accent3"/>
            </a:solidFill>
            <a:ln cmpd="sng">
              <a:solidFill>
                <a:srgbClr val="000000"/>
              </a:solidFill>
            </a:ln>
          </c:spPr>
          <c:cat>
            <c:strRef>
              <c:f>'Resultat - M-tek'!$A$27:$A$29</c:f>
            </c:strRef>
          </c:cat>
          <c:val>
            <c:numRef>
              <c:f>'Resultat - M-tek'!$D$27:$D$29</c:f>
              <c:numCache/>
            </c:numRef>
          </c:val>
        </c:ser>
        <c:overlap val="100"/>
        <c:axId val="29755385"/>
        <c:axId val="385176790"/>
      </c:barChart>
      <c:catAx>
        <c:axId val="2975538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900">
                <a:solidFill>
                  <a:srgbClr val="000000"/>
                </a:solidFill>
                <a:latin typeface="+mn-lt"/>
              </a:defRPr>
            </a:pPr>
          </a:p>
        </c:txPr>
        <c:crossAx val="385176790"/>
      </c:catAx>
      <c:valAx>
        <c:axId val="385176790"/>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rgbClr val="000000"/>
                </a:solidFill>
                <a:latin typeface="+mn-lt"/>
              </a:defRPr>
            </a:pPr>
          </a:p>
        </c:txPr>
        <c:crossAx val="29755385"/>
      </c:valAx>
    </c:plotArea>
    <c:legend>
      <c:legendPos val="b"/>
      <c:overlay val="0"/>
      <c:txPr>
        <a:bodyPr/>
        <a:lstStyle/>
        <a:p>
          <a:pPr lvl="0">
            <a:defRPr b="0" i="0" sz="90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000000"/>
                </a:solidFill>
                <a:latin typeface="+mn-lt"/>
              </a:defRPr>
            </a:pPr>
            <a:r>
              <a:rPr b="0" i="0" sz="1400">
                <a:solidFill>
                  <a:srgbClr val="000000"/>
                </a:solidFill>
                <a:latin typeface="+mn-lt"/>
              </a:rPr>
              <a:t>KOMPARATIVe UTSLIPP SCENARIO 2  (KGco2E)</a:t>
            </a:r>
          </a:p>
        </c:rich>
      </c:tx>
      <c:overlay val="0"/>
    </c:title>
    <c:plotArea>
      <c:layout/>
      <c:barChart>
        <c:barDir val="col"/>
        <c:grouping val="stacked"/>
        <c:ser>
          <c:idx val="0"/>
          <c:order val="0"/>
          <c:tx>
            <c:v>Materiale (A1-A4), kgCO2e</c:v>
          </c:tx>
          <c:spPr>
            <a:solidFill>
              <a:schemeClr val="accent1"/>
            </a:solidFill>
            <a:ln cmpd="sng">
              <a:solidFill>
                <a:srgbClr val="000000"/>
              </a:solidFill>
            </a:ln>
          </c:spPr>
          <c:cat>
            <c:strRef>
              <c:f>'Resultat - M-tek'!$A$38:$A$39</c:f>
            </c:strRef>
          </c:cat>
          <c:val>
            <c:numRef>
              <c:f>'Resultat - M-tek'!$B$38:$B$39</c:f>
              <c:numCache/>
            </c:numRef>
          </c:val>
        </c:ser>
        <c:ser>
          <c:idx val="1"/>
          <c:order val="1"/>
          <c:tx>
            <c:v>Transport, kgCO2e</c:v>
          </c:tx>
          <c:spPr>
            <a:solidFill>
              <a:schemeClr val="accent2"/>
            </a:solidFill>
            <a:ln cmpd="sng">
              <a:solidFill>
                <a:srgbClr val="000000"/>
              </a:solidFill>
            </a:ln>
          </c:spPr>
          <c:cat>
            <c:strRef>
              <c:f>'Resultat - M-tek'!$A$38:$A$39</c:f>
            </c:strRef>
          </c:cat>
          <c:val>
            <c:numRef>
              <c:f>'Resultat - M-tek'!$C$38:$C$39</c:f>
              <c:numCache/>
            </c:numRef>
          </c:val>
        </c:ser>
        <c:ser>
          <c:idx val="2"/>
          <c:order val="2"/>
          <c:tx>
            <c:v>Avfall (C1-C4), kgCO2e</c:v>
          </c:tx>
          <c:spPr>
            <a:solidFill>
              <a:schemeClr val="accent3"/>
            </a:solidFill>
            <a:ln cmpd="sng">
              <a:solidFill>
                <a:srgbClr val="000000"/>
              </a:solidFill>
            </a:ln>
          </c:spPr>
          <c:cat>
            <c:strRef>
              <c:f>'Resultat - M-tek'!$A$38:$A$39</c:f>
            </c:strRef>
          </c:cat>
          <c:val>
            <c:numRef>
              <c:f>'Resultat - M-tek'!$D$38:$D$39</c:f>
              <c:numCache/>
            </c:numRef>
          </c:val>
        </c:ser>
        <c:overlap val="100"/>
        <c:axId val="984855319"/>
        <c:axId val="530527851"/>
      </c:barChart>
      <c:catAx>
        <c:axId val="98485531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900">
                <a:solidFill>
                  <a:srgbClr val="000000"/>
                </a:solidFill>
                <a:latin typeface="+mn-lt"/>
              </a:defRPr>
            </a:pPr>
          </a:p>
        </c:txPr>
        <c:crossAx val="530527851"/>
      </c:catAx>
      <c:valAx>
        <c:axId val="530527851"/>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rgbClr val="000000"/>
                </a:solidFill>
                <a:latin typeface="+mn-lt"/>
              </a:defRPr>
            </a:pPr>
          </a:p>
        </c:txPr>
        <c:crossAx val="984855319"/>
      </c:valAx>
    </c:plotArea>
    <c:legend>
      <c:legendPos val="b"/>
      <c:overlay val="0"/>
      <c:txPr>
        <a:bodyPr/>
        <a:lstStyle/>
        <a:p>
          <a:pPr lvl="0">
            <a:defRPr b="0" i="0" sz="90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000000"/>
                </a:solidFill>
                <a:latin typeface="+mn-lt"/>
              </a:defRPr>
            </a:pPr>
            <a:r>
              <a:rPr b="0" i="0" sz="1400">
                <a:solidFill>
                  <a:srgbClr val="000000"/>
                </a:solidFill>
                <a:latin typeface="+mn-lt"/>
              </a:rPr>
              <a:t>KOMPARATIVe UTSLIPP SCENARIO 3 (KGco2E)</a:t>
            </a:r>
          </a:p>
        </c:rich>
      </c:tx>
      <c:overlay val="0"/>
    </c:title>
    <c:plotArea>
      <c:layout/>
      <c:barChart>
        <c:barDir val="col"/>
        <c:grouping val="stacked"/>
        <c:ser>
          <c:idx val="0"/>
          <c:order val="0"/>
          <c:tx>
            <c:v>Materiale (A1-A4), kgCO2e</c:v>
          </c:tx>
          <c:spPr>
            <a:solidFill>
              <a:schemeClr val="accent1"/>
            </a:solidFill>
            <a:ln cmpd="sng">
              <a:solidFill>
                <a:srgbClr val="000000"/>
              </a:solidFill>
            </a:ln>
          </c:spPr>
          <c:cat>
            <c:strRef>
              <c:f>'Resultat - M-tek'!$A$48:$A$49</c:f>
            </c:strRef>
          </c:cat>
          <c:val>
            <c:numRef>
              <c:f>'Resultat - M-tek'!$B$48:$B$49</c:f>
              <c:numCache/>
            </c:numRef>
          </c:val>
        </c:ser>
        <c:ser>
          <c:idx val="1"/>
          <c:order val="1"/>
          <c:tx>
            <c:v>Transport, kgCO2e</c:v>
          </c:tx>
          <c:spPr>
            <a:solidFill>
              <a:schemeClr val="accent2"/>
            </a:solidFill>
            <a:ln cmpd="sng">
              <a:solidFill>
                <a:srgbClr val="000000"/>
              </a:solidFill>
            </a:ln>
          </c:spPr>
          <c:cat>
            <c:strRef>
              <c:f>'Resultat - M-tek'!$A$48:$A$49</c:f>
            </c:strRef>
          </c:cat>
          <c:val>
            <c:numRef>
              <c:f>'Resultat - M-tek'!$C$48:$C$49</c:f>
              <c:numCache/>
            </c:numRef>
          </c:val>
        </c:ser>
        <c:ser>
          <c:idx val="2"/>
          <c:order val="2"/>
          <c:tx>
            <c:v>Avfall (C1-C4), kgCO2e</c:v>
          </c:tx>
          <c:spPr>
            <a:solidFill>
              <a:schemeClr val="accent3"/>
            </a:solidFill>
            <a:ln cmpd="sng">
              <a:solidFill>
                <a:srgbClr val="000000"/>
              </a:solidFill>
            </a:ln>
          </c:spPr>
          <c:cat>
            <c:strRef>
              <c:f>'Resultat - M-tek'!$A$48:$A$49</c:f>
            </c:strRef>
          </c:cat>
          <c:val>
            <c:numRef>
              <c:f>'Resultat - M-tek'!$D$48:$D$49</c:f>
              <c:numCache/>
            </c:numRef>
          </c:val>
        </c:ser>
        <c:overlap val="100"/>
        <c:axId val="1639783035"/>
        <c:axId val="684709073"/>
      </c:barChart>
      <c:catAx>
        <c:axId val="163978303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900">
                <a:solidFill>
                  <a:srgbClr val="000000"/>
                </a:solidFill>
                <a:latin typeface="+mn-lt"/>
              </a:defRPr>
            </a:pPr>
          </a:p>
        </c:txPr>
        <c:crossAx val="684709073"/>
      </c:catAx>
      <c:valAx>
        <c:axId val="684709073"/>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rgbClr val="000000"/>
                </a:solidFill>
                <a:latin typeface="+mn-lt"/>
              </a:defRPr>
            </a:pPr>
          </a:p>
        </c:txPr>
        <c:crossAx val="1639783035"/>
      </c:valAx>
    </c:plotArea>
    <c:legend>
      <c:legendPos val="b"/>
      <c:overlay val="0"/>
      <c:txPr>
        <a:bodyPr/>
        <a:lstStyle/>
        <a:p>
          <a:pPr lvl="0">
            <a:defRPr b="0" i="0" sz="90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757575"/>
                </a:solidFill>
                <a:latin typeface="+mn-lt"/>
              </a:defRPr>
            </a:pPr>
            <a:r>
              <a:rPr b="1" i="0" sz="1800">
                <a:solidFill>
                  <a:srgbClr val="757575"/>
                </a:solidFill>
                <a:latin typeface="+mn-lt"/>
              </a:rPr>
              <a:t>KOMPARATIVA UTSLIPP SCENARIO 1  (kgCO2e), T-KM</a:t>
            </a:r>
          </a:p>
        </c:rich>
      </c:tx>
      <c:overlay val="0"/>
    </c:title>
    <c:plotArea>
      <c:layout/>
      <c:barChart>
        <c:barDir val="col"/>
        <c:grouping val="stacked"/>
        <c:ser>
          <c:idx val="0"/>
          <c:order val="0"/>
          <c:tx>
            <c:v>Material (A1-A4), kgCO2e</c:v>
          </c:tx>
          <c:spPr>
            <a:solidFill>
              <a:schemeClr val="accent1"/>
            </a:solidFill>
            <a:ln cmpd="sng">
              <a:solidFill>
                <a:srgbClr val="000000"/>
              </a:solidFill>
            </a:ln>
          </c:spPr>
          <c:cat>
            <c:strRef>
              <c:f>'Resultat - M-tek (t-km)'!$A$27:$A$29</c:f>
            </c:strRef>
          </c:cat>
          <c:val>
            <c:numRef>
              <c:f>'Resultat - M-tek (t-km)'!$B$27:$B$29</c:f>
              <c:numCache/>
            </c:numRef>
          </c:val>
        </c:ser>
        <c:ser>
          <c:idx val="1"/>
          <c:order val="1"/>
          <c:tx>
            <c:v>Transport, kgCO2e</c:v>
          </c:tx>
          <c:spPr>
            <a:solidFill>
              <a:schemeClr val="accent2"/>
            </a:solidFill>
            <a:ln cmpd="sng">
              <a:solidFill>
                <a:srgbClr val="000000"/>
              </a:solidFill>
            </a:ln>
          </c:spPr>
          <c:cat>
            <c:strRef>
              <c:f>'Resultat - M-tek (t-km)'!$A$27:$A$29</c:f>
            </c:strRef>
          </c:cat>
          <c:val>
            <c:numRef>
              <c:f>'Resultat - M-tek (t-km)'!$C$27:$C$29</c:f>
              <c:numCache/>
            </c:numRef>
          </c:val>
        </c:ser>
        <c:ser>
          <c:idx val="2"/>
          <c:order val="2"/>
          <c:tx>
            <c:v>Avfall (C1-C4), kgCO2e</c:v>
          </c:tx>
          <c:spPr>
            <a:solidFill>
              <a:schemeClr val="accent3"/>
            </a:solidFill>
            <a:ln cmpd="sng">
              <a:solidFill>
                <a:srgbClr val="000000"/>
              </a:solidFill>
            </a:ln>
          </c:spPr>
          <c:cat>
            <c:strRef>
              <c:f>'Resultat - M-tek (t-km)'!$A$27:$A$29</c:f>
            </c:strRef>
          </c:cat>
          <c:val>
            <c:numRef>
              <c:f>'Resultat - M-tek (t-km)'!$D$27:$D$29</c:f>
              <c:numCache/>
            </c:numRef>
          </c:val>
        </c:ser>
        <c:overlap val="100"/>
        <c:axId val="1640276258"/>
        <c:axId val="1029861024"/>
      </c:barChart>
      <c:catAx>
        <c:axId val="164027625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900">
                <a:solidFill>
                  <a:srgbClr val="000000"/>
                </a:solidFill>
                <a:latin typeface="+mn-lt"/>
              </a:defRPr>
            </a:pPr>
          </a:p>
        </c:txPr>
        <c:crossAx val="1029861024"/>
      </c:catAx>
      <c:valAx>
        <c:axId val="1029861024"/>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rgbClr val="000000"/>
                </a:solidFill>
                <a:latin typeface="+mn-lt"/>
              </a:defRPr>
            </a:pPr>
          </a:p>
        </c:txPr>
        <c:crossAx val="1640276258"/>
      </c:valAx>
    </c:plotArea>
    <c:legend>
      <c:legendPos val="b"/>
      <c:overlay val="0"/>
      <c:txPr>
        <a:bodyPr/>
        <a:lstStyle/>
        <a:p>
          <a:pPr lvl="0">
            <a:defRPr b="0" i="0" sz="90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000000"/>
                </a:solidFill>
                <a:latin typeface="+mn-lt"/>
              </a:defRPr>
            </a:pPr>
            <a:r>
              <a:rPr b="0" i="0" sz="1400">
                <a:solidFill>
                  <a:srgbClr val="000000"/>
                </a:solidFill>
                <a:latin typeface="+mn-lt"/>
              </a:rPr>
              <a:t>KOMPARATIVA UTSLIPP SCENARIO 2  (KGco2E), T-KM</a:t>
            </a:r>
          </a:p>
        </c:rich>
      </c:tx>
      <c:overlay val="0"/>
    </c:title>
    <c:plotArea>
      <c:layout/>
      <c:barChart>
        <c:barDir val="col"/>
        <c:grouping val="stacked"/>
        <c:ser>
          <c:idx val="0"/>
          <c:order val="0"/>
          <c:tx>
            <c:v>Material (A1-A4), kgCO2e</c:v>
          </c:tx>
          <c:spPr>
            <a:solidFill>
              <a:schemeClr val="accent1"/>
            </a:solidFill>
            <a:ln cmpd="sng">
              <a:solidFill>
                <a:srgbClr val="000000"/>
              </a:solidFill>
            </a:ln>
          </c:spPr>
          <c:cat>
            <c:strRef>
              <c:f>'Resultat - M-tek (t-km)'!$A$38:$A$39</c:f>
            </c:strRef>
          </c:cat>
          <c:val>
            <c:numRef>
              <c:f>'Resultat - M-tek (t-km)'!$B$38:$B$39</c:f>
              <c:numCache/>
            </c:numRef>
          </c:val>
        </c:ser>
        <c:ser>
          <c:idx val="1"/>
          <c:order val="1"/>
          <c:tx>
            <c:v>Transport, kgCO2e</c:v>
          </c:tx>
          <c:spPr>
            <a:solidFill>
              <a:schemeClr val="accent2"/>
            </a:solidFill>
            <a:ln cmpd="sng">
              <a:solidFill>
                <a:srgbClr val="000000"/>
              </a:solidFill>
            </a:ln>
          </c:spPr>
          <c:cat>
            <c:strRef>
              <c:f>'Resultat - M-tek (t-km)'!$A$38:$A$39</c:f>
            </c:strRef>
          </c:cat>
          <c:val>
            <c:numRef>
              <c:f>'Resultat - M-tek (t-km)'!$C$38:$C$39</c:f>
              <c:numCache/>
            </c:numRef>
          </c:val>
        </c:ser>
        <c:ser>
          <c:idx val="2"/>
          <c:order val="2"/>
          <c:tx>
            <c:v>Avfall (C1-C4), kgCO2e</c:v>
          </c:tx>
          <c:spPr>
            <a:solidFill>
              <a:schemeClr val="accent3"/>
            </a:solidFill>
            <a:ln cmpd="sng">
              <a:solidFill>
                <a:srgbClr val="000000"/>
              </a:solidFill>
            </a:ln>
          </c:spPr>
          <c:cat>
            <c:strRef>
              <c:f>'Resultat - M-tek (t-km)'!$A$38:$A$39</c:f>
            </c:strRef>
          </c:cat>
          <c:val>
            <c:numRef>
              <c:f>'Resultat - M-tek (t-km)'!$D$38:$D$39</c:f>
              <c:numCache/>
            </c:numRef>
          </c:val>
        </c:ser>
        <c:overlap val="100"/>
        <c:axId val="2084968425"/>
        <c:axId val="4398774"/>
      </c:barChart>
      <c:catAx>
        <c:axId val="208496842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900">
                <a:solidFill>
                  <a:srgbClr val="000000"/>
                </a:solidFill>
                <a:latin typeface="+mn-lt"/>
              </a:defRPr>
            </a:pPr>
          </a:p>
        </c:txPr>
        <c:crossAx val="4398774"/>
      </c:catAx>
      <c:valAx>
        <c:axId val="4398774"/>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rgbClr val="000000"/>
                </a:solidFill>
                <a:latin typeface="+mn-lt"/>
              </a:defRPr>
            </a:pPr>
          </a:p>
        </c:txPr>
        <c:crossAx val="2084968425"/>
      </c:valAx>
    </c:plotArea>
    <c:legend>
      <c:legendPos val="b"/>
      <c:overlay val="0"/>
      <c:txPr>
        <a:bodyPr/>
        <a:lstStyle/>
        <a:p>
          <a:pPr lvl="0">
            <a:defRPr b="0" i="0" sz="90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000000"/>
                </a:solidFill>
                <a:latin typeface="+mn-lt"/>
              </a:defRPr>
            </a:pPr>
            <a:r>
              <a:rPr b="0" i="0" sz="1400">
                <a:solidFill>
                  <a:srgbClr val="000000"/>
                </a:solidFill>
                <a:latin typeface="+mn-lt"/>
              </a:rPr>
              <a:t>KOMPARATIVA UTSLIPP SCENARIO 3 (KGco2E), T-KM</a:t>
            </a:r>
          </a:p>
        </c:rich>
      </c:tx>
      <c:overlay val="0"/>
    </c:title>
    <c:plotArea>
      <c:layout/>
      <c:barChart>
        <c:barDir val="col"/>
        <c:grouping val="stacked"/>
        <c:ser>
          <c:idx val="0"/>
          <c:order val="0"/>
          <c:tx>
            <c:v>Material (A1-A4), kgCO2e</c:v>
          </c:tx>
          <c:spPr>
            <a:solidFill>
              <a:schemeClr val="accent1"/>
            </a:solidFill>
            <a:ln cmpd="sng">
              <a:solidFill>
                <a:srgbClr val="000000"/>
              </a:solidFill>
            </a:ln>
          </c:spPr>
          <c:cat>
            <c:strRef>
              <c:f>'Resultat - M-tek (t-km)'!$A$48:$A$49</c:f>
            </c:strRef>
          </c:cat>
          <c:val>
            <c:numRef>
              <c:f>'Resultat - M-tek (t-km)'!$B$48:$B$49</c:f>
              <c:numCache/>
            </c:numRef>
          </c:val>
        </c:ser>
        <c:ser>
          <c:idx val="1"/>
          <c:order val="1"/>
          <c:tx>
            <c:v>Transport, kgCO2e</c:v>
          </c:tx>
          <c:spPr>
            <a:solidFill>
              <a:schemeClr val="accent2"/>
            </a:solidFill>
            <a:ln cmpd="sng">
              <a:solidFill>
                <a:srgbClr val="000000"/>
              </a:solidFill>
            </a:ln>
          </c:spPr>
          <c:cat>
            <c:strRef>
              <c:f>'Resultat - M-tek (t-km)'!$A$48:$A$49</c:f>
            </c:strRef>
          </c:cat>
          <c:val>
            <c:numRef>
              <c:f>'Resultat - M-tek (t-km)'!$C$48:$C$49</c:f>
              <c:numCache/>
            </c:numRef>
          </c:val>
        </c:ser>
        <c:ser>
          <c:idx val="2"/>
          <c:order val="2"/>
          <c:tx>
            <c:v>Avfall (C1-C4), kgCO2e</c:v>
          </c:tx>
          <c:spPr>
            <a:solidFill>
              <a:schemeClr val="accent3"/>
            </a:solidFill>
            <a:ln cmpd="sng">
              <a:solidFill>
                <a:srgbClr val="000000"/>
              </a:solidFill>
            </a:ln>
          </c:spPr>
          <c:cat>
            <c:strRef>
              <c:f>'Resultat - M-tek (t-km)'!$A$48:$A$49</c:f>
            </c:strRef>
          </c:cat>
          <c:val>
            <c:numRef>
              <c:f>'Resultat - M-tek (t-km)'!$D$48:$D$49</c:f>
              <c:numCache/>
            </c:numRef>
          </c:val>
        </c:ser>
        <c:overlap val="100"/>
        <c:axId val="581864914"/>
        <c:axId val="1061159738"/>
      </c:barChart>
      <c:catAx>
        <c:axId val="58186491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900">
                <a:solidFill>
                  <a:srgbClr val="000000"/>
                </a:solidFill>
                <a:latin typeface="+mn-lt"/>
              </a:defRPr>
            </a:pPr>
          </a:p>
        </c:txPr>
        <c:crossAx val="1061159738"/>
      </c:catAx>
      <c:valAx>
        <c:axId val="1061159738"/>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rgbClr val="000000"/>
                </a:solidFill>
                <a:latin typeface="+mn-lt"/>
              </a:defRPr>
            </a:pPr>
          </a:p>
        </c:txPr>
        <c:crossAx val="581864914"/>
      </c:valAx>
    </c:plotArea>
    <c:legend>
      <c:legendPos val="b"/>
      <c:overlay val="0"/>
      <c:txPr>
        <a:bodyPr/>
        <a:lstStyle/>
        <a:p>
          <a:pPr lvl="0">
            <a:defRPr b="0" i="0" sz="90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4.xml"/><Relationship Id="rId2" Type="http://schemas.openxmlformats.org/officeDocument/2006/relationships/chart" Target="../charts/chart5.xml"/><Relationship Id="rId3"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361950</xdr:colOff>
      <xdr:row>36</xdr:row>
      <xdr:rowOff>9525</xdr:rowOff>
    </xdr:from>
    <xdr:ext cx="1581150" cy="914400"/>
    <xdr:sp>
      <xdr:nvSpPr>
        <xdr:cNvPr id="3" name="Shape 3"/>
        <xdr:cNvSpPr/>
      </xdr:nvSpPr>
      <xdr:spPr>
        <a:xfrm>
          <a:off x="4564950" y="3327563"/>
          <a:ext cx="1562100" cy="904875"/>
        </a:xfrm>
        <a:prstGeom prst="rightArrow">
          <a:avLst>
            <a:gd fmla="val 50000" name="adj1"/>
            <a:gd fmla="val 50000" name="adj2"/>
          </a:avLst>
        </a:prstGeom>
        <a:solidFill>
          <a:schemeClr val="accent1"/>
        </a:solidFill>
        <a:ln cap="flat" cmpd="sng" w="12700">
          <a:solidFill>
            <a:srgbClr val="454C3D"/>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000000"/>
              </a:solidFill>
              <a:latin typeface="Calibri"/>
              <a:ea typeface="Calibri"/>
              <a:cs typeface="Calibri"/>
              <a:sym typeface="Calibri"/>
            </a:rPr>
            <a:t>Produktion</a:t>
          </a:r>
          <a:r>
            <a:rPr lang="en-US" sz="1100">
              <a:solidFill>
                <a:srgbClr val="000000"/>
              </a:solidFill>
              <a:latin typeface="Calibri"/>
              <a:ea typeface="Calibri"/>
              <a:cs typeface="Calibri"/>
              <a:sym typeface="Calibri"/>
            </a:rPr>
            <a:t> A1-A3</a:t>
          </a:r>
          <a:endParaRPr sz="1100">
            <a:solidFill>
              <a:srgbClr val="000000"/>
            </a:solidFill>
          </a:endParaRPr>
        </a:p>
      </xdr:txBody>
    </xdr:sp>
    <xdr:clientData fLocksWithSheet="0"/>
  </xdr:oneCellAnchor>
  <xdr:oneCellAnchor>
    <xdr:from>
      <xdr:col>3</xdr:col>
      <xdr:colOff>180975</xdr:colOff>
      <xdr:row>36</xdr:row>
      <xdr:rowOff>38100</xdr:rowOff>
    </xdr:from>
    <xdr:ext cx="1600200" cy="914400"/>
    <xdr:sp>
      <xdr:nvSpPr>
        <xdr:cNvPr id="4" name="Shape 4"/>
        <xdr:cNvSpPr/>
      </xdr:nvSpPr>
      <xdr:spPr>
        <a:xfrm>
          <a:off x="4550663" y="3327563"/>
          <a:ext cx="1590675" cy="904875"/>
        </a:xfrm>
        <a:prstGeom prst="rightArrow">
          <a:avLst>
            <a:gd fmla="val 50000" name="adj1"/>
            <a:gd fmla="val 50000" name="adj2"/>
          </a:avLst>
        </a:prstGeom>
        <a:solidFill>
          <a:schemeClr val="accent1"/>
        </a:solidFill>
        <a:ln cap="flat" cmpd="sng" w="12700">
          <a:solidFill>
            <a:srgbClr val="454C3D"/>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000000"/>
              </a:solidFill>
              <a:latin typeface="Calibri"/>
              <a:ea typeface="Calibri"/>
              <a:cs typeface="Calibri"/>
              <a:sym typeface="Calibri"/>
            </a:rPr>
            <a:t>Uppströms</a:t>
          </a:r>
          <a:r>
            <a:rPr lang="en-US" sz="1100">
              <a:solidFill>
                <a:srgbClr val="000000"/>
              </a:solidFill>
              <a:latin typeface="Calibri"/>
              <a:ea typeface="Calibri"/>
              <a:cs typeface="Calibri"/>
              <a:sym typeface="Calibri"/>
            </a:rPr>
            <a:t> transport (inte alla)</a:t>
          </a:r>
          <a:endParaRPr sz="1100">
            <a:solidFill>
              <a:srgbClr val="000000"/>
            </a:solidFill>
          </a:endParaRPr>
        </a:p>
      </xdr:txBody>
    </xdr:sp>
    <xdr:clientData fLocksWithSheet="0"/>
  </xdr:oneCellAnchor>
  <xdr:oneCellAnchor>
    <xdr:from>
      <xdr:col>6</xdr:col>
      <xdr:colOff>0</xdr:colOff>
      <xdr:row>36</xdr:row>
      <xdr:rowOff>38100</xdr:rowOff>
    </xdr:from>
    <xdr:ext cx="1581150" cy="914400"/>
    <xdr:sp>
      <xdr:nvSpPr>
        <xdr:cNvPr id="5" name="Shape 5"/>
        <xdr:cNvSpPr/>
      </xdr:nvSpPr>
      <xdr:spPr>
        <a:xfrm>
          <a:off x="4560188" y="3327563"/>
          <a:ext cx="1571625" cy="904875"/>
        </a:xfrm>
        <a:prstGeom prst="rightArrow">
          <a:avLst>
            <a:gd fmla="val 50000" name="adj1"/>
            <a:gd fmla="val 50000" name="adj2"/>
          </a:avLst>
        </a:prstGeom>
        <a:solidFill>
          <a:srgbClr val="F8C78E"/>
        </a:solidFill>
        <a:ln cap="flat" cmpd="sng" w="12700">
          <a:solidFill>
            <a:srgbClr val="454C3D"/>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000000"/>
              </a:solidFill>
              <a:latin typeface="Calibri"/>
              <a:ea typeface="Calibri"/>
              <a:cs typeface="Calibri"/>
              <a:sym typeface="Calibri"/>
            </a:rPr>
            <a:t>Lagring hos grossist*</a:t>
          </a:r>
          <a:endParaRPr sz="1400"/>
        </a:p>
      </xdr:txBody>
    </xdr:sp>
    <xdr:clientData fLocksWithSheet="0"/>
  </xdr:oneCellAnchor>
  <xdr:oneCellAnchor>
    <xdr:from>
      <xdr:col>8</xdr:col>
      <xdr:colOff>400050</xdr:colOff>
      <xdr:row>36</xdr:row>
      <xdr:rowOff>66675</xdr:rowOff>
    </xdr:from>
    <xdr:ext cx="1743075" cy="914400"/>
    <xdr:sp>
      <xdr:nvSpPr>
        <xdr:cNvPr id="6" name="Shape 6"/>
        <xdr:cNvSpPr/>
      </xdr:nvSpPr>
      <xdr:spPr>
        <a:xfrm>
          <a:off x="4483988" y="3327563"/>
          <a:ext cx="1724025" cy="904875"/>
        </a:xfrm>
        <a:prstGeom prst="rightArrow">
          <a:avLst>
            <a:gd fmla="val 50000" name="adj1"/>
            <a:gd fmla="val 50000" name="adj2"/>
          </a:avLst>
        </a:prstGeom>
        <a:solidFill>
          <a:schemeClr val="accent1"/>
        </a:solidFill>
        <a:ln cap="flat" cmpd="sng" w="12700">
          <a:solidFill>
            <a:srgbClr val="454C3D"/>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000000"/>
              </a:solidFill>
              <a:latin typeface="Calibri"/>
              <a:ea typeface="Calibri"/>
              <a:cs typeface="Calibri"/>
              <a:sym typeface="Calibri"/>
            </a:rPr>
            <a:t>Transport</a:t>
          </a:r>
          <a:r>
            <a:rPr lang="en-US" sz="1100">
              <a:solidFill>
                <a:srgbClr val="000000"/>
              </a:solidFill>
              <a:latin typeface="Calibri"/>
              <a:ea typeface="Calibri"/>
              <a:cs typeface="Calibri"/>
              <a:sym typeface="Calibri"/>
            </a:rPr>
            <a:t> från grossist till skadeverksted</a:t>
          </a:r>
          <a:endParaRPr sz="1100">
            <a:solidFill>
              <a:srgbClr val="000000"/>
            </a:solidFill>
          </a:endParaRPr>
        </a:p>
      </xdr:txBody>
    </xdr:sp>
    <xdr:clientData fLocksWithSheet="0"/>
  </xdr:oneCellAnchor>
  <xdr:oneCellAnchor>
    <xdr:from>
      <xdr:col>11</xdr:col>
      <xdr:colOff>400050</xdr:colOff>
      <xdr:row>36</xdr:row>
      <xdr:rowOff>95250</xdr:rowOff>
    </xdr:from>
    <xdr:ext cx="1343025" cy="933450"/>
    <xdr:sp>
      <xdr:nvSpPr>
        <xdr:cNvPr id="7" name="Shape 7"/>
        <xdr:cNvSpPr/>
      </xdr:nvSpPr>
      <xdr:spPr>
        <a:xfrm>
          <a:off x="4679250" y="3322800"/>
          <a:ext cx="1333500" cy="914400"/>
        </a:xfrm>
        <a:prstGeom prst="rightArrow">
          <a:avLst>
            <a:gd fmla="val 50000" name="adj1"/>
            <a:gd fmla="val 50000" name="adj2"/>
          </a:avLst>
        </a:prstGeom>
        <a:solidFill>
          <a:srgbClr val="F8C78E"/>
        </a:solidFill>
        <a:ln cap="flat" cmpd="sng" w="12700">
          <a:solidFill>
            <a:srgbClr val="454C3D"/>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000000"/>
              </a:solidFill>
              <a:latin typeface="Calibri"/>
              <a:ea typeface="Calibri"/>
              <a:cs typeface="Calibri"/>
              <a:sym typeface="Calibri"/>
            </a:rPr>
            <a:t>Installation* </a:t>
          </a:r>
          <a:endParaRPr sz="1400"/>
        </a:p>
      </xdr:txBody>
    </xdr:sp>
    <xdr:clientData fLocksWithSheet="0"/>
  </xdr:oneCellAnchor>
  <xdr:oneCellAnchor>
    <xdr:from>
      <xdr:col>13</xdr:col>
      <xdr:colOff>571500</xdr:colOff>
      <xdr:row>36</xdr:row>
      <xdr:rowOff>85725</xdr:rowOff>
    </xdr:from>
    <xdr:ext cx="1390650" cy="933450"/>
    <xdr:sp>
      <xdr:nvSpPr>
        <xdr:cNvPr id="8" name="Shape 8"/>
        <xdr:cNvSpPr/>
      </xdr:nvSpPr>
      <xdr:spPr>
        <a:xfrm>
          <a:off x="4655438" y="3322800"/>
          <a:ext cx="1381125" cy="914400"/>
        </a:xfrm>
        <a:prstGeom prst="rightArrow">
          <a:avLst>
            <a:gd fmla="val 50000" name="adj1"/>
            <a:gd fmla="val 50000" name="adj2"/>
          </a:avLst>
        </a:prstGeom>
        <a:solidFill>
          <a:schemeClr val="accent1"/>
        </a:solidFill>
        <a:ln cap="flat" cmpd="sng" w="12700">
          <a:solidFill>
            <a:srgbClr val="454C3D"/>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000000"/>
              </a:solidFill>
              <a:latin typeface="Calibri"/>
              <a:ea typeface="Calibri"/>
              <a:cs typeface="Calibri"/>
              <a:sym typeface="Calibri"/>
            </a:rPr>
            <a:t>Avfall</a:t>
          </a:r>
          <a:r>
            <a:rPr lang="en-US" sz="1100">
              <a:solidFill>
                <a:srgbClr val="000000"/>
              </a:solidFill>
              <a:latin typeface="Calibri"/>
              <a:ea typeface="Calibri"/>
              <a:cs typeface="Calibri"/>
              <a:sym typeface="Calibri"/>
            </a:rPr>
            <a:t> genererat under reparation</a:t>
          </a:r>
          <a:endParaRPr sz="1100">
            <a:solidFill>
              <a:srgbClr val="000000"/>
            </a:solidFill>
          </a:endParaRPr>
        </a:p>
      </xdr:txBody>
    </xdr:sp>
    <xdr:clientData fLocksWithSheet="0"/>
  </xdr:oneCellAnchor>
  <xdr:oneCellAnchor>
    <xdr:from>
      <xdr:col>14</xdr:col>
      <xdr:colOff>1447800</xdr:colOff>
      <xdr:row>36</xdr:row>
      <xdr:rowOff>123825</xdr:rowOff>
    </xdr:from>
    <xdr:ext cx="1104900" cy="933450"/>
    <xdr:sp>
      <xdr:nvSpPr>
        <xdr:cNvPr id="9" name="Shape 9"/>
        <xdr:cNvSpPr/>
      </xdr:nvSpPr>
      <xdr:spPr>
        <a:xfrm>
          <a:off x="4803075" y="3322800"/>
          <a:ext cx="1085850" cy="914400"/>
        </a:xfrm>
        <a:prstGeom prst="rightArrow">
          <a:avLst>
            <a:gd fmla="val 50000" name="adj1"/>
            <a:gd fmla="val 50000" name="adj2"/>
          </a:avLst>
        </a:prstGeom>
        <a:solidFill>
          <a:srgbClr val="F8C78E"/>
        </a:solidFill>
        <a:ln cap="flat" cmpd="sng" w="12700">
          <a:solidFill>
            <a:srgbClr val="454C3D"/>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000000"/>
              </a:solidFill>
              <a:latin typeface="Calibri"/>
              <a:ea typeface="Calibri"/>
              <a:cs typeface="Calibri"/>
              <a:sym typeface="Calibri"/>
            </a:rPr>
            <a:t>End-of</a:t>
          </a:r>
          <a:r>
            <a:rPr lang="en-US" sz="1100">
              <a:solidFill>
                <a:srgbClr val="000000"/>
              </a:solidFill>
              <a:latin typeface="Calibri"/>
              <a:ea typeface="Calibri"/>
              <a:cs typeface="Calibri"/>
              <a:sym typeface="Calibri"/>
            </a:rPr>
            <a:t> life*</a:t>
          </a:r>
          <a:endParaRPr sz="1100">
            <a:solidFill>
              <a:srgbClr val="000000"/>
            </a:solidFill>
          </a:endParaRPr>
        </a:p>
      </xdr:txBody>
    </xdr:sp>
    <xdr:clientData fLocksWithSheet="0"/>
  </xdr:oneCellAnchor>
  <xdr:oneCellAnchor>
    <xdr:from>
      <xdr:col>0</xdr:col>
      <xdr:colOff>0</xdr:colOff>
      <xdr:row>0</xdr:row>
      <xdr:rowOff>285750</xdr:rowOff>
    </xdr:from>
    <xdr:ext cx="8229600" cy="6096000"/>
    <xdr:sp>
      <xdr:nvSpPr>
        <xdr:cNvPr id="10" name="Shape 10"/>
        <xdr:cNvSpPr txBox="1"/>
      </xdr:nvSpPr>
      <xdr:spPr>
        <a:xfrm>
          <a:off x="1231200" y="736763"/>
          <a:ext cx="8229600" cy="608647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b="0" i="0" lang="en-US" sz="1100">
              <a:solidFill>
                <a:schemeClr val="dk1"/>
              </a:solidFill>
              <a:latin typeface="Calibri"/>
              <a:ea typeface="Calibri"/>
              <a:cs typeface="Calibri"/>
              <a:sym typeface="Calibri"/>
            </a:rPr>
            <a:t>Den här Excel-filen utgör grunden för projektet som syftar till att estimera potentiella undvikna utsläpp från M-Teks och M-Tetts punktreparationer. Projektet har som mål att estimera och jämföra utsläppen från M-Teks och M-Tetts punktreparationer med alternativet att istället riva hela badrummet.</a:t>
          </a:r>
          <a:endParaRPr b="0" i="0" sz="1100">
            <a:solidFill>
              <a:schemeClr val="dk1"/>
            </a:solidFill>
            <a:latin typeface="Calibri"/>
            <a:ea typeface="Calibri"/>
            <a:cs typeface="Calibri"/>
            <a:sym typeface="Calibri"/>
          </a:endParaRPr>
        </a:p>
        <a:p>
          <a:pPr indent="0" lvl="0" marL="0" rtl="0" algn="l">
            <a:spcBef>
              <a:spcPts val="0"/>
            </a:spcBef>
            <a:spcAft>
              <a:spcPts val="0"/>
            </a:spcAft>
            <a:buNone/>
          </a:pPr>
          <a:r>
            <a:t/>
          </a:r>
          <a:endParaRPr b="0" i="0" sz="1100">
            <a:solidFill>
              <a:schemeClr val="dk1"/>
            </a:solidFill>
            <a:latin typeface="Calibri"/>
            <a:ea typeface="Calibri"/>
            <a:cs typeface="Calibri"/>
            <a:sym typeface="Calibri"/>
          </a:endParaRPr>
        </a:p>
        <a:p>
          <a:pPr indent="0" lvl="0" marL="0" rtl="0" algn="l">
            <a:spcBef>
              <a:spcPts val="0"/>
            </a:spcBef>
            <a:spcAft>
              <a:spcPts val="0"/>
            </a:spcAft>
            <a:buNone/>
          </a:pPr>
          <a:r>
            <a:rPr b="0" i="0" lang="en-US" sz="1100">
              <a:solidFill>
                <a:schemeClr val="dk1"/>
              </a:solidFill>
              <a:latin typeface="Calibri"/>
              <a:ea typeface="Calibri"/>
              <a:cs typeface="Calibri"/>
              <a:sym typeface="Calibri"/>
            </a:rPr>
            <a:t>De inkluderade utsläppen omfattar produktion av material (inklusive viss uppströms transport), transport från grossist till skadeverkstad samt avfall som genereras under reparationen.</a:t>
          </a:r>
          <a:endParaRPr sz="1100">
            <a:solidFill>
              <a:schemeClr val="dk1"/>
            </a:solidFill>
            <a:latin typeface="Calibri"/>
            <a:ea typeface="Calibri"/>
            <a:cs typeface="Calibri"/>
            <a:sym typeface="Calibri"/>
          </a:endParaRPr>
        </a:p>
        <a:p>
          <a:pPr indent="0" lvl="0" marL="0" rtl="0" algn="l">
            <a:spcBef>
              <a:spcPts val="0"/>
            </a:spcBef>
            <a:spcAft>
              <a:spcPts val="0"/>
            </a:spcAft>
            <a:buNone/>
          </a:pPr>
          <a:r>
            <a:t/>
          </a:r>
          <a:endParaRPr sz="1100">
            <a:solidFill>
              <a:schemeClr val="dk1"/>
            </a:solidFill>
            <a:latin typeface="Calibri"/>
            <a:ea typeface="Calibri"/>
            <a:cs typeface="Calibri"/>
            <a:sym typeface="Calibri"/>
          </a:endParaRPr>
        </a:p>
        <a:p>
          <a:pPr indent="0" lvl="0" marL="0" rtl="0" algn="l">
            <a:spcBef>
              <a:spcPts val="0"/>
            </a:spcBef>
            <a:spcAft>
              <a:spcPts val="0"/>
            </a:spcAft>
            <a:buNone/>
          </a:pPr>
          <a:r>
            <a:rPr lang="en-US" sz="1100">
              <a:solidFill>
                <a:schemeClr val="dk1"/>
              </a:solidFill>
              <a:latin typeface="Calibri"/>
              <a:ea typeface="Calibri"/>
              <a:cs typeface="Calibri"/>
              <a:sym typeface="Calibri"/>
            </a:rPr>
            <a:t>Produktionsutsläppen är tagna från EPDer som motsvarar material som är typiska för M-Tett och M-Teks reparationer. Vidare har livscykelsteget A4 inkluderats (uppströms transporter) i de fall där detta har deklarerats i EPDen. </a:t>
          </a:r>
          <a:r>
            <a:rPr b="0" i="0" lang="en-US" sz="1100">
              <a:solidFill>
                <a:schemeClr val="dk1"/>
              </a:solidFill>
              <a:latin typeface="Calibri"/>
              <a:ea typeface="Calibri"/>
              <a:cs typeface="Calibri"/>
              <a:sym typeface="Calibri"/>
            </a:rPr>
            <a:t>Transporten mellan grossist och skadeverkstad har estimerats baserat på antaganden om distans, antal körturer och fordon. Resultaten för transportutsläpp varierar betydligt beroende på beräkningsmetod (tonn-km eller km). Av denna anledning presenteras två resultatark: ett för beräkningar baserade på km och ett för beräkningar baserade på tonn-km. Med tanke på de betydande variationerna kan det vara mest konservativt, med hänsyn till undvikna utsläpp, att utgå från resultaten som inkluderar transportberäkningar baserade på km. Eftersom transporten är föremål för stor osäkerhet och påverkas av faktorer som vi inte har tillgång till data för, såsom motor, bränsletyp och hastighet, har det beslutats att det mest konservativa alternativet ska användas i detta sammanhang. Avfallsutsläpp har estimerats baserat på EPDer för de aktuella materialen.</a:t>
          </a:r>
          <a:endParaRPr sz="1400"/>
        </a:p>
        <a:p>
          <a:pPr indent="0" lvl="0" marL="0" rtl="0" algn="l">
            <a:spcBef>
              <a:spcPts val="0"/>
            </a:spcBef>
            <a:spcAft>
              <a:spcPts val="0"/>
            </a:spcAft>
            <a:buNone/>
          </a:pPr>
          <a:r>
            <a:t/>
          </a:r>
          <a:endParaRPr sz="1100">
            <a:solidFill>
              <a:schemeClr val="dk1"/>
            </a:solidFill>
            <a:latin typeface="Calibri"/>
            <a:ea typeface="Calibri"/>
            <a:cs typeface="Calibri"/>
            <a:sym typeface="Calibri"/>
          </a:endParaRPr>
        </a:p>
        <a:p>
          <a:pPr indent="0" lvl="0" marL="0" rtl="0" algn="l">
            <a:spcBef>
              <a:spcPts val="0"/>
            </a:spcBef>
            <a:spcAft>
              <a:spcPts val="0"/>
            </a:spcAft>
            <a:buNone/>
          </a:pPr>
          <a:r>
            <a:rPr lang="en-US" sz="1100">
              <a:solidFill>
                <a:schemeClr val="dk1"/>
              </a:solidFill>
              <a:latin typeface="Calibri"/>
              <a:ea typeface="Calibri"/>
              <a:cs typeface="Calibri"/>
              <a:sym typeface="Calibri"/>
            </a:rPr>
            <a:t>Data, såsom vikter, material och EPDer, har tillhandahållits till CEMAsys från M-Tett och M-Tek. </a:t>
          </a:r>
          <a:endParaRPr sz="1400"/>
        </a:p>
        <a:p>
          <a:pPr indent="0" lvl="0" marL="0" rtl="0" algn="l">
            <a:spcBef>
              <a:spcPts val="0"/>
            </a:spcBef>
            <a:spcAft>
              <a:spcPts val="0"/>
            </a:spcAft>
            <a:buNone/>
          </a:pPr>
          <a:r>
            <a:t/>
          </a:r>
          <a:endParaRPr b="1" sz="1100">
            <a:solidFill>
              <a:schemeClr val="dk1"/>
            </a:solidFill>
            <a:latin typeface="Calibri"/>
            <a:ea typeface="Calibri"/>
            <a:cs typeface="Calibri"/>
            <a:sym typeface="Calibri"/>
          </a:endParaRPr>
        </a:p>
        <a:p>
          <a:pPr indent="0" lvl="0" marL="0" rtl="0" algn="l">
            <a:spcBef>
              <a:spcPts val="0"/>
            </a:spcBef>
            <a:spcAft>
              <a:spcPts val="0"/>
            </a:spcAft>
            <a:buNone/>
          </a:pPr>
          <a:r>
            <a:rPr b="1" lang="en-US" sz="1100">
              <a:solidFill>
                <a:schemeClr val="dk1"/>
              </a:solidFill>
              <a:latin typeface="Calibri"/>
              <a:ea typeface="Calibri"/>
              <a:cs typeface="Calibri"/>
              <a:sym typeface="Calibri"/>
            </a:rPr>
            <a:t>Base case - rivet bad med gjenbruk: </a:t>
          </a:r>
          <a:r>
            <a:rPr lang="en-US" sz="1100">
              <a:solidFill>
                <a:schemeClr val="dk1"/>
              </a:solidFill>
              <a:latin typeface="Calibri"/>
              <a:ea typeface="Calibri"/>
              <a:cs typeface="Calibri"/>
              <a:sym typeface="Calibri"/>
            </a:rPr>
            <a:t>Base caset som M-Tetts &amp; M-Teks produkter jämförs mot. Detta case inkluderar utsläpp relaterade till att riva och bygga upp ett helt nytt badrum, med undantag för återanvändning av toalett, duschväggar och badrumsinredning. De återanvända produkterna antas ha nollutsläpp. Produkt- och materialåtgång varierar beroende på badrummets kvadratmeter. </a:t>
          </a:r>
          <a:endParaRPr sz="1400"/>
        </a:p>
        <a:p>
          <a:pPr indent="0" lvl="0" marL="0" rtl="0" algn="l">
            <a:spcBef>
              <a:spcPts val="0"/>
            </a:spcBef>
            <a:spcAft>
              <a:spcPts val="0"/>
            </a:spcAft>
            <a:buNone/>
          </a:pPr>
          <a:r>
            <a:rPr b="1" lang="en-US" sz="1100">
              <a:solidFill>
                <a:schemeClr val="dk1"/>
              </a:solidFill>
              <a:latin typeface="Calibri"/>
              <a:ea typeface="Calibri"/>
              <a:cs typeface="Calibri"/>
              <a:sym typeface="Calibri"/>
            </a:rPr>
            <a:t>Base case - rivet bad: </a:t>
          </a:r>
          <a:r>
            <a:rPr b="0" lang="en-US" sz="1100">
              <a:solidFill>
                <a:schemeClr val="dk1"/>
              </a:solidFill>
              <a:latin typeface="Calibri"/>
              <a:ea typeface="Calibri"/>
              <a:cs typeface="Calibri"/>
              <a:sym typeface="Calibri"/>
            </a:rPr>
            <a:t>Base caset som M-Tetts &amp; M-Teks produkter jämförs mot. Det inkluderar utsläpp relaterade till att riva och bygga upp ett helt nytt badrum. Produkt- och materialåtgång varierar beroende på badrummets kvadratmeter.</a:t>
          </a:r>
          <a:endParaRPr sz="1400"/>
        </a:p>
        <a:p>
          <a:pPr indent="0" lvl="0" marL="0" rtl="0" algn="l">
            <a:spcBef>
              <a:spcPts val="0"/>
            </a:spcBef>
            <a:spcAft>
              <a:spcPts val="0"/>
            </a:spcAft>
            <a:buNone/>
          </a:pPr>
          <a:r>
            <a:rPr b="1" lang="en-US" sz="1100">
              <a:solidFill>
                <a:schemeClr val="dk1"/>
              </a:solidFill>
              <a:latin typeface="Calibri"/>
              <a:ea typeface="Calibri"/>
              <a:cs typeface="Calibri"/>
              <a:sym typeface="Calibri"/>
            </a:rPr>
            <a:t>Case 1: </a:t>
          </a:r>
          <a:r>
            <a:rPr lang="en-US" sz="1100">
              <a:solidFill>
                <a:schemeClr val="dk1"/>
              </a:solidFill>
              <a:latin typeface="Calibri"/>
              <a:ea typeface="Calibri"/>
              <a:cs typeface="Calibri"/>
              <a:sym typeface="Calibri"/>
            </a:rPr>
            <a:t>Detta case inkluderar utsläpp relaterade till M-Teks värmekabelreparation, oavhängigt kvadratmeter. Produkt- och materialåtgång antas vara oberoende av badrummets storlek.</a:t>
          </a:r>
          <a:endParaRPr sz="1400"/>
        </a:p>
        <a:p>
          <a:pPr indent="0" lvl="0" marL="0" rtl="0" algn="l">
            <a:spcBef>
              <a:spcPts val="0"/>
            </a:spcBef>
            <a:spcAft>
              <a:spcPts val="0"/>
            </a:spcAft>
            <a:buNone/>
          </a:pPr>
          <a:r>
            <a:rPr b="1" lang="en-US" sz="1100">
              <a:solidFill>
                <a:schemeClr val="dk1"/>
              </a:solidFill>
              <a:latin typeface="Calibri"/>
              <a:ea typeface="Calibri"/>
              <a:cs typeface="Calibri"/>
              <a:sym typeface="Calibri"/>
            </a:rPr>
            <a:t>Case 2:</a:t>
          </a:r>
          <a:r>
            <a:rPr lang="en-US" sz="1100">
              <a:solidFill>
                <a:schemeClr val="dk1"/>
              </a:solidFill>
              <a:latin typeface="Calibri"/>
              <a:ea typeface="Calibri"/>
              <a:cs typeface="Calibri"/>
              <a:sym typeface="Calibri"/>
            </a:rPr>
            <a:t> Detta case inkluderar utsläpp relaterade till M-Teks värmekabelreparation, med antagandet att reparationen kräver att ett helt nytt golv läggs. Utsläpp inkluderar rivning av golv och produktionen av ett nytt golv. Produkt- och materialåtgången varierar därför beroende på antalet kvadratmeter.</a:t>
          </a:r>
          <a:endParaRPr sz="1400"/>
        </a:p>
        <a:p>
          <a:pPr indent="0" lvl="0" marL="0" rtl="0" algn="l">
            <a:spcBef>
              <a:spcPts val="0"/>
            </a:spcBef>
            <a:spcAft>
              <a:spcPts val="0"/>
            </a:spcAft>
            <a:buNone/>
          </a:pPr>
          <a:r>
            <a:t/>
          </a:r>
          <a:endParaRPr sz="1100">
            <a:solidFill>
              <a:schemeClr val="dk1"/>
            </a:solidFill>
            <a:latin typeface="Calibri"/>
            <a:ea typeface="Calibri"/>
            <a:cs typeface="Calibri"/>
            <a:sym typeface="Calibri"/>
          </a:endParaRPr>
        </a:p>
        <a:p>
          <a:pPr indent="0" lvl="0" marL="0" rtl="0" algn="l">
            <a:spcBef>
              <a:spcPts val="0"/>
            </a:spcBef>
            <a:spcAft>
              <a:spcPts val="0"/>
            </a:spcAft>
            <a:buNone/>
          </a:pPr>
          <a:r>
            <a:rPr b="0" lang="en-US" sz="1100">
              <a:solidFill>
                <a:schemeClr val="dk1"/>
              </a:solidFill>
              <a:latin typeface="Calibri"/>
              <a:ea typeface="Calibri"/>
              <a:cs typeface="Calibri"/>
              <a:sym typeface="Calibri"/>
            </a:rPr>
            <a:t>Observera att utsläppen från lagring hos grossist och utsläpp under installationsfasen inte har inkluderats på grund av brist på data. Dessutom har inte badrummets livslängd beaktats i studien, eftersom reparationen inte antas påverka livslängden.</a:t>
          </a:r>
          <a:endParaRPr sz="1400"/>
        </a:p>
      </xdr:txBody>
    </xdr: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266700</xdr:colOff>
      <xdr:row>5</xdr:row>
      <xdr:rowOff>180975</xdr:rowOff>
    </xdr:from>
    <xdr:ext cx="6067425" cy="2409825"/>
    <xdr:graphicFrame>
      <xdr:nvGraphicFramePr>
        <xdr:cNvPr id="1517889757" name="Chart 1" title="Diagram"/>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14</xdr:col>
      <xdr:colOff>1200150</xdr:colOff>
      <xdr:row>5</xdr:row>
      <xdr:rowOff>133350</xdr:rowOff>
    </xdr:from>
    <xdr:ext cx="6134100" cy="2505075"/>
    <xdr:graphicFrame>
      <xdr:nvGraphicFramePr>
        <xdr:cNvPr id="1188771130" name="Chart 2" title="Diagram"/>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9</xdr:col>
      <xdr:colOff>933450</xdr:colOff>
      <xdr:row>35</xdr:row>
      <xdr:rowOff>66675</xdr:rowOff>
    </xdr:from>
    <xdr:ext cx="6191250" cy="2790825"/>
    <xdr:graphicFrame>
      <xdr:nvGraphicFramePr>
        <xdr:cNvPr id="81436220" name="Chart 3" title="Diagram"/>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0</xdr:col>
      <xdr:colOff>0</xdr:colOff>
      <xdr:row>1</xdr:row>
      <xdr:rowOff>0</xdr:rowOff>
    </xdr:from>
    <xdr:ext cx="5695950" cy="3429000"/>
    <xdr:sp>
      <xdr:nvSpPr>
        <xdr:cNvPr id="11" name="Shape 11"/>
        <xdr:cNvSpPr txBox="1"/>
      </xdr:nvSpPr>
      <xdr:spPr>
        <a:xfrm>
          <a:off x="2498025" y="2065500"/>
          <a:ext cx="5695950" cy="342900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solidFill>
                <a:schemeClr val="dk1"/>
              </a:solidFill>
              <a:latin typeface="Calibri"/>
              <a:ea typeface="Calibri"/>
              <a:cs typeface="Calibri"/>
              <a:sym typeface="Calibri"/>
            </a:rPr>
            <a:t>Detta ark är till för</a:t>
          </a:r>
          <a:r>
            <a:rPr lang="en-US" sz="1100">
              <a:solidFill>
                <a:schemeClr val="dk1"/>
              </a:solidFill>
              <a:latin typeface="Calibri"/>
              <a:ea typeface="Calibri"/>
              <a:cs typeface="Calibri"/>
              <a:sym typeface="Calibri"/>
            </a:rPr>
            <a:t> att estimera undvikna utsläpp kopplat till M-Tetts - och M-Teks tjänster. De studerande tjänsterna är M-tetts punktreparation, och M-Teks slukreparation av värmekablar, som jämförs med ett rivet bad (med och utan återbruk). För mer information om metod, avgränsningar och antaganden</a:t>
          </a:r>
          <a:r>
            <a:rPr lang="en-US" sz="1100">
              <a:solidFill>
                <a:srgbClr val="000000"/>
              </a:solidFill>
              <a:latin typeface="Calibri"/>
              <a:ea typeface="Calibri"/>
              <a:cs typeface="Calibri"/>
              <a:sym typeface="Calibri"/>
            </a:rPr>
            <a:t>, se PPT. </a:t>
          </a:r>
          <a:endParaRPr sz="1400"/>
        </a:p>
        <a:p>
          <a:pPr indent="0" lvl="0" marL="0" rtl="0" algn="l">
            <a:spcBef>
              <a:spcPts val="0"/>
            </a:spcBef>
            <a:spcAft>
              <a:spcPts val="0"/>
            </a:spcAft>
            <a:buNone/>
          </a:pPr>
          <a:r>
            <a:t/>
          </a:r>
          <a:endParaRPr sz="1100"/>
        </a:p>
        <a:p>
          <a:pPr indent="0" lvl="0" marL="0" rtl="0" algn="l">
            <a:spcBef>
              <a:spcPts val="0"/>
            </a:spcBef>
            <a:spcAft>
              <a:spcPts val="0"/>
            </a:spcAft>
            <a:buNone/>
          </a:pPr>
          <a:r>
            <a:rPr lang="en-US" sz="1100">
              <a:solidFill>
                <a:schemeClr val="dk1"/>
              </a:solidFill>
              <a:latin typeface="Calibri"/>
              <a:ea typeface="Calibri"/>
              <a:cs typeface="Calibri"/>
              <a:sym typeface="Calibri"/>
            </a:rPr>
            <a:t>Resultaten visas i tre scenarion. </a:t>
          </a:r>
          <a:endParaRPr sz="1400"/>
        </a:p>
        <a:p>
          <a:pPr indent="0" lvl="0" marL="0" rtl="0" algn="l">
            <a:spcBef>
              <a:spcPts val="0"/>
            </a:spcBef>
            <a:spcAft>
              <a:spcPts val="0"/>
            </a:spcAft>
            <a:buNone/>
          </a:pPr>
          <a:r>
            <a:t/>
          </a:r>
          <a:endParaRPr sz="1100"/>
        </a:p>
        <a:p>
          <a:pPr indent="0" lvl="0" marL="0" rtl="0" algn="l">
            <a:spcBef>
              <a:spcPts val="0"/>
            </a:spcBef>
            <a:spcAft>
              <a:spcPts val="0"/>
            </a:spcAft>
            <a:buNone/>
          </a:pPr>
          <a:r>
            <a:rPr b="1" lang="en-US" sz="1100">
              <a:solidFill>
                <a:schemeClr val="dk1"/>
              </a:solidFill>
              <a:latin typeface="Calibri"/>
              <a:ea typeface="Calibri"/>
              <a:cs typeface="Calibri"/>
              <a:sym typeface="Calibri"/>
            </a:rPr>
            <a:t>Scenario 1: </a:t>
          </a:r>
          <a:r>
            <a:rPr lang="en-US" sz="1100">
              <a:solidFill>
                <a:schemeClr val="dk1"/>
              </a:solidFill>
              <a:latin typeface="Calibri"/>
              <a:ea typeface="Calibri"/>
              <a:cs typeface="Calibri"/>
              <a:sym typeface="Calibri"/>
            </a:rPr>
            <a:t>I detta scenario jämförs Rivet bad med gjenbruk med M-teks värmekabelreparation, separerat mellan Case 2.1 och Case 2.2 </a:t>
          </a:r>
          <a:endParaRPr sz="1400"/>
        </a:p>
        <a:p>
          <a:pPr indent="0" lvl="0" marL="0" rtl="0" algn="l">
            <a:spcBef>
              <a:spcPts val="0"/>
            </a:spcBef>
            <a:spcAft>
              <a:spcPts val="0"/>
            </a:spcAft>
            <a:buNone/>
          </a:pPr>
          <a:r>
            <a:rPr b="1" lang="en-US" sz="1100">
              <a:solidFill>
                <a:schemeClr val="dk1"/>
              </a:solidFill>
              <a:latin typeface="Calibri"/>
              <a:ea typeface="Calibri"/>
              <a:cs typeface="Calibri"/>
              <a:sym typeface="Calibri"/>
            </a:rPr>
            <a:t>Scenario 2: </a:t>
          </a:r>
          <a:r>
            <a:rPr lang="en-US" sz="1100">
              <a:solidFill>
                <a:schemeClr val="dk1"/>
              </a:solidFill>
              <a:latin typeface="Calibri"/>
              <a:ea typeface="Calibri"/>
              <a:cs typeface="Calibri"/>
              <a:sym typeface="Calibri"/>
            </a:rPr>
            <a:t>I detta scenario jämförs Rivet bad med gjenbruk med M-Teks värmekabelreparation Case 2.1 + Case 2.2 </a:t>
          </a:r>
          <a:endParaRPr sz="1100"/>
        </a:p>
        <a:p>
          <a:pPr indent="0" lvl="0" marL="0" rtl="0" algn="l">
            <a:spcBef>
              <a:spcPts val="0"/>
            </a:spcBef>
            <a:spcAft>
              <a:spcPts val="0"/>
            </a:spcAft>
            <a:buNone/>
          </a:pPr>
          <a:r>
            <a:rPr b="1" lang="en-US" sz="1100">
              <a:solidFill>
                <a:schemeClr val="dk1"/>
              </a:solidFill>
              <a:latin typeface="Calibri"/>
              <a:ea typeface="Calibri"/>
              <a:cs typeface="Calibri"/>
              <a:sym typeface="Calibri"/>
            </a:rPr>
            <a:t>Scenario 3: </a:t>
          </a:r>
          <a:r>
            <a:rPr lang="en-US" sz="1100">
              <a:solidFill>
                <a:schemeClr val="dk1"/>
              </a:solidFill>
              <a:latin typeface="Calibri"/>
              <a:ea typeface="Calibri"/>
              <a:cs typeface="Calibri"/>
              <a:sym typeface="Calibri"/>
            </a:rPr>
            <a:t>I detta scenario jämförs Rivet bad utan gjenbruk med M-Teks värmekabelreparation Case 2.1 + Case 2.2 </a:t>
          </a:r>
          <a:endParaRPr sz="1100"/>
        </a:p>
        <a:p>
          <a:pPr indent="0" lvl="0" marL="0" rtl="0" algn="l">
            <a:spcBef>
              <a:spcPts val="0"/>
            </a:spcBef>
            <a:spcAft>
              <a:spcPts val="0"/>
            </a:spcAft>
            <a:buNone/>
          </a:pPr>
          <a:r>
            <a:t/>
          </a:r>
          <a:endParaRPr sz="1100"/>
        </a:p>
        <a:p>
          <a:pPr indent="0" lvl="0" marL="0" rtl="0" algn="l">
            <a:spcBef>
              <a:spcPts val="0"/>
            </a:spcBef>
            <a:spcAft>
              <a:spcPts val="0"/>
            </a:spcAft>
            <a:buNone/>
          </a:pPr>
          <a:r>
            <a:rPr b="0" i="1" lang="en-US" sz="1100" u="none" strike="noStrike">
              <a:solidFill>
                <a:schemeClr val="dk1"/>
              </a:solidFill>
              <a:latin typeface="Calibri"/>
              <a:ea typeface="Calibri"/>
              <a:cs typeface="Calibri"/>
              <a:sym typeface="Calibri"/>
            </a:rPr>
            <a:t>Notera: resultat är beräknade utifrån nedanstående kvadratmeter, i de fall reparationerna inte är oavhängiga kvadratmeter (case 1 &amp; case 2.1). Antal</a:t>
          </a:r>
          <a:r>
            <a:rPr b="0" i="1" lang="en-US" sz="1100" u="none" strike="noStrike">
              <a:solidFill>
                <a:schemeClr val="dk1"/>
              </a:solidFill>
              <a:latin typeface="Calibri"/>
              <a:ea typeface="Calibri"/>
              <a:cs typeface="Calibri"/>
              <a:sym typeface="Calibri"/>
            </a:rPr>
            <a:t> kvadratmeter kan justeras i cellen nedan. </a:t>
          </a:r>
          <a:r>
            <a:rPr b="0" i="1" lang="en-US" sz="1100" u="none" strike="noStrike">
              <a:solidFill>
                <a:schemeClr val="dk1"/>
              </a:solidFill>
              <a:latin typeface="Calibri"/>
              <a:ea typeface="Calibri"/>
              <a:cs typeface="Calibri"/>
              <a:sym typeface="Calibri"/>
            </a:rPr>
            <a:t> Notera: de produkter</a:t>
          </a:r>
          <a:r>
            <a:rPr b="0" i="1" lang="en-US" sz="1100" u="none" strike="noStrike">
              <a:solidFill>
                <a:schemeClr val="dk1"/>
              </a:solidFill>
              <a:latin typeface="Calibri"/>
              <a:ea typeface="Calibri"/>
              <a:cs typeface="Calibri"/>
              <a:sym typeface="Calibri"/>
            </a:rPr>
            <a:t> (förutom downlights) </a:t>
          </a:r>
          <a:r>
            <a:rPr b="0" i="1" lang="en-US" sz="1100" u="none" strike="noStrike">
              <a:solidFill>
                <a:schemeClr val="dk1"/>
              </a:solidFill>
              <a:latin typeface="Calibri"/>
              <a:ea typeface="Calibri"/>
              <a:cs typeface="Calibri"/>
              <a:sym typeface="Calibri"/>
            </a:rPr>
            <a:t>som angetts</a:t>
          </a:r>
          <a:r>
            <a:rPr b="0" i="1" lang="en-US" sz="1100" u="none" strike="noStrike">
              <a:solidFill>
                <a:schemeClr val="dk1"/>
              </a:solidFill>
              <a:latin typeface="Calibri"/>
              <a:ea typeface="Calibri"/>
              <a:cs typeface="Calibri"/>
              <a:sym typeface="Calibri"/>
            </a:rPr>
            <a:t> i antal (pieces) kräver manuell justering, om fler antal krävs.</a:t>
          </a:r>
          <a:endParaRPr b="0" i="1" sz="1100" u="none" strike="noStrike">
            <a:solidFill>
              <a:schemeClr val="dk1"/>
            </a:solidFill>
            <a:latin typeface="Calibri"/>
            <a:ea typeface="Calibri"/>
            <a:cs typeface="Calibri"/>
            <a:sym typeface="Calibri"/>
          </a:endParaRPr>
        </a:p>
      </xdr:txBody>
    </xdr: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381000</xdr:colOff>
      <xdr:row>9</xdr:row>
      <xdr:rowOff>371475</xdr:rowOff>
    </xdr:from>
    <xdr:ext cx="3667125" cy="581025"/>
    <xdr:sp>
      <xdr:nvSpPr>
        <xdr:cNvPr id="12" name="Shape 12"/>
        <xdr:cNvSpPr txBox="1"/>
      </xdr:nvSpPr>
      <xdr:spPr>
        <a:xfrm>
          <a:off x="3512438" y="3494250"/>
          <a:ext cx="3667125" cy="57150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b="1" lang="en-US" sz="1100">
              <a:solidFill>
                <a:schemeClr val="dk1"/>
              </a:solidFill>
              <a:latin typeface="Calibri"/>
              <a:ea typeface="Calibri"/>
              <a:cs typeface="Calibri"/>
              <a:sym typeface="Calibri"/>
            </a:rPr>
            <a:t>Transport</a:t>
          </a:r>
          <a:endParaRPr sz="1400"/>
        </a:p>
        <a:p>
          <a:pPr indent="0" lvl="0" marL="0" rtl="0" algn="l">
            <a:spcBef>
              <a:spcPts val="0"/>
            </a:spcBef>
            <a:spcAft>
              <a:spcPts val="0"/>
            </a:spcAft>
            <a:buNone/>
          </a:pPr>
          <a:r>
            <a:rPr b="0" lang="en-US" sz="1100">
              <a:solidFill>
                <a:schemeClr val="dk1"/>
              </a:solidFill>
              <a:latin typeface="Calibri"/>
              <a:ea typeface="Calibri"/>
              <a:cs typeface="Calibri"/>
              <a:sym typeface="Calibri"/>
            </a:rPr>
            <a:t>Mest</a:t>
          </a:r>
          <a:r>
            <a:rPr b="0" lang="en-US" sz="1100">
              <a:solidFill>
                <a:schemeClr val="dk1"/>
              </a:solidFill>
              <a:latin typeface="Calibri"/>
              <a:ea typeface="Calibri"/>
              <a:cs typeface="Calibri"/>
              <a:sym typeface="Calibri"/>
            </a:rPr>
            <a:t> konservativt är att utgå från km och inte tkm. Transporten är väldigt osäkert och påverkas av mycket som vi inte har data på så som motor, typ av bränsle, hastighet osv. Därför beslutas att använda det mest konservativa valet i detta läge. </a:t>
          </a:r>
          <a:endParaRPr sz="1400"/>
        </a:p>
      </xdr:txBody>
    </xdr:sp>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600075</xdr:colOff>
      <xdr:row>19</xdr:row>
      <xdr:rowOff>0</xdr:rowOff>
    </xdr:from>
    <xdr:ext cx="6067425" cy="2409825"/>
    <xdr:graphicFrame>
      <xdr:nvGraphicFramePr>
        <xdr:cNvPr id="1265122691" name="Chart 4"/>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7</xdr:col>
      <xdr:colOff>0</xdr:colOff>
      <xdr:row>31</xdr:row>
      <xdr:rowOff>85725</xdr:rowOff>
    </xdr:from>
    <xdr:ext cx="6134100" cy="2505075"/>
    <xdr:graphicFrame>
      <xdr:nvGraphicFramePr>
        <xdr:cNvPr id="1286453127" name="Chart 5"/>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7</xdr:col>
      <xdr:colOff>9525</xdr:colOff>
      <xdr:row>43</xdr:row>
      <xdr:rowOff>123825</xdr:rowOff>
    </xdr:from>
    <xdr:ext cx="6191250" cy="2790825"/>
    <xdr:graphicFrame>
      <xdr:nvGraphicFramePr>
        <xdr:cNvPr id="492573348" name="Chart 6"/>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0</xdr:col>
      <xdr:colOff>0</xdr:colOff>
      <xdr:row>1</xdr:row>
      <xdr:rowOff>0</xdr:rowOff>
    </xdr:from>
    <xdr:ext cx="4981575" cy="3429000"/>
    <xdr:sp>
      <xdr:nvSpPr>
        <xdr:cNvPr id="13" name="Shape 13"/>
        <xdr:cNvSpPr txBox="1"/>
      </xdr:nvSpPr>
      <xdr:spPr>
        <a:xfrm>
          <a:off x="2855213" y="2065500"/>
          <a:ext cx="4981575" cy="342900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solidFill>
                <a:schemeClr val="dk1"/>
              </a:solidFill>
              <a:latin typeface="Calibri"/>
              <a:ea typeface="Calibri"/>
              <a:cs typeface="Calibri"/>
              <a:sym typeface="Calibri"/>
            </a:rPr>
            <a:t>Detta ark är till för</a:t>
          </a:r>
          <a:r>
            <a:rPr lang="en-US" sz="1100">
              <a:solidFill>
                <a:schemeClr val="dk1"/>
              </a:solidFill>
              <a:latin typeface="Calibri"/>
              <a:ea typeface="Calibri"/>
              <a:cs typeface="Calibri"/>
              <a:sym typeface="Calibri"/>
            </a:rPr>
            <a:t> att estimera undvikna utsläpp kopplat till M-Tetts - och M-Teks tjänster. De studerande tjänsterna är M-tetts punktreparation, och M-Teks slukreparation av värmekablar, som jämförs med ett rivet bad (med och utan återbruk). För mer information om metod, avgränsningar och antaganden</a:t>
          </a:r>
          <a:r>
            <a:rPr lang="en-US" sz="1100">
              <a:solidFill>
                <a:srgbClr val="000000"/>
              </a:solidFill>
              <a:latin typeface="Calibri"/>
              <a:ea typeface="Calibri"/>
              <a:cs typeface="Calibri"/>
              <a:sym typeface="Calibri"/>
            </a:rPr>
            <a:t>, se PPT. </a:t>
          </a:r>
          <a:endParaRPr sz="1400"/>
        </a:p>
        <a:p>
          <a:pPr indent="0" lvl="0" marL="0" rtl="0" algn="l">
            <a:spcBef>
              <a:spcPts val="0"/>
            </a:spcBef>
            <a:spcAft>
              <a:spcPts val="0"/>
            </a:spcAft>
            <a:buNone/>
          </a:pPr>
          <a:r>
            <a:t/>
          </a:r>
          <a:endParaRPr sz="1100"/>
        </a:p>
        <a:p>
          <a:pPr indent="0" lvl="0" marL="0" rtl="0" algn="l">
            <a:spcBef>
              <a:spcPts val="0"/>
            </a:spcBef>
            <a:spcAft>
              <a:spcPts val="0"/>
            </a:spcAft>
            <a:buNone/>
          </a:pPr>
          <a:r>
            <a:rPr lang="en-US" sz="1100">
              <a:solidFill>
                <a:schemeClr val="dk1"/>
              </a:solidFill>
              <a:latin typeface="Calibri"/>
              <a:ea typeface="Calibri"/>
              <a:cs typeface="Calibri"/>
              <a:sym typeface="Calibri"/>
            </a:rPr>
            <a:t>Resultaten visas i tre scenarion. </a:t>
          </a:r>
          <a:endParaRPr sz="1400"/>
        </a:p>
        <a:p>
          <a:pPr indent="0" lvl="0" marL="0" rtl="0" algn="l">
            <a:spcBef>
              <a:spcPts val="0"/>
            </a:spcBef>
            <a:spcAft>
              <a:spcPts val="0"/>
            </a:spcAft>
            <a:buNone/>
          </a:pPr>
          <a:r>
            <a:t/>
          </a:r>
          <a:endParaRPr sz="1100"/>
        </a:p>
        <a:p>
          <a:pPr indent="0" lvl="0" marL="0" rtl="0" algn="l">
            <a:spcBef>
              <a:spcPts val="0"/>
            </a:spcBef>
            <a:spcAft>
              <a:spcPts val="0"/>
            </a:spcAft>
            <a:buNone/>
          </a:pPr>
          <a:r>
            <a:rPr b="1" lang="en-US" sz="1100">
              <a:solidFill>
                <a:schemeClr val="dk1"/>
              </a:solidFill>
              <a:latin typeface="Calibri"/>
              <a:ea typeface="Calibri"/>
              <a:cs typeface="Calibri"/>
              <a:sym typeface="Calibri"/>
            </a:rPr>
            <a:t>Scenario 1: </a:t>
          </a:r>
          <a:r>
            <a:rPr lang="en-US" sz="1100">
              <a:solidFill>
                <a:schemeClr val="dk1"/>
              </a:solidFill>
              <a:latin typeface="Calibri"/>
              <a:ea typeface="Calibri"/>
              <a:cs typeface="Calibri"/>
              <a:sym typeface="Calibri"/>
            </a:rPr>
            <a:t>I detta scenario jämförs Rivet bad med återbruk med Case 1 (M-tetts slukreparasjon) och Case 2.1 och Case 2.2 (M-Teks värmekabelreparation)</a:t>
          </a:r>
          <a:endParaRPr sz="1400"/>
        </a:p>
        <a:p>
          <a:pPr indent="0" lvl="0" marL="0" rtl="0" algn="l">
            <a:spcBef>
              <a:spcPts val="0"/>
            </a:spcBef>
            <a:spcAft>
              <a:spcPts val="0"/>
            </a:spcAft>
            <a:buNone/>
          </a:pPr>
          <a:r>
            <a:rPr b="1" lang="en-US" sz="1100">
              <a:solidFill>
                <a:schemeClr val="dk1"/>
              </a:solidFill>
              <a:latin typeface="Calibri"/>
              <a:ea typeface="Calibri"/>
              <a:cs typeface="Calibri"/>
              <a:sym typeface="Calibri"/>
            </a:rPr>
            <a:t>Scenario 2: </a:t>
          </a:r>
          <a:r>
            <a:rPr lang="en-US" sz="1100">
              <a:solidFill>
                <a:schemeClr val="dk1"/>
              </a:solidFill>
              <a:latin typeface="Calibri"/>
              <a:ea typeface="Calibri"/>
              <a:cs typeface="Calibri"/>
              <a:sym typeface="Calibri"/>
            </a:rPr>
            <a:t>I detta scenario jämförs Rivet bad med återbruk med Case 1 (M-tetts slukreparasjon) och Case 2.1 + Case 2.2 (M-Teks värmekabelreparation)</a:t>
          </a:r>
          <a:endParaRPr sz="1100"/>
        </a:p>
        <a:p>
          <a:pPr indent="0" lvl="0" marL="0" rtl="0" algn="l">
            <a:spcBef>
              <a:spcPts val="0"/>
            </a:spcBef>
            <a:spcAft>
              <a:spcPts val="0"/>
            </a:spcAft>
            <a:buNone/>
          </a:pPr>
          <a:r>
            <a:rPr b="1" lang="en-US" sz="1100">
              <a:solidFill>
                <a:schemeClr val="dk1"/>
              </a:solidFill>
              <a:latin typeface="Calibri"/>
              <a:ea typeface="Calibri"/>
              <a:cs typeface="Calibri"/>
              <a:sym typeface="Calibri"/>
            </a:rPr>
            <a:t>Scenario 3: </a:t>
          </a:r>
          <a:r>
            <a:rPr lang="en-US" sz="1100">
              <a:solidFill>
                <a:schemeClr val="dk1"/>
              </a:solidFill>
              <a:latin typeface="Calibri"/>
              <a:ea typeface="Calibri"/>
              <a:cs typeface="Calibri"/>
              <a:sym typeface="Calibri"/>
            </a:rPr>
            <a:t>I detta scenario jämförs Rivet bad utan återbruk med Case 1 (M-tetts slukreparasjon) och Case 2.1 + Case 2.2 (M-Teks värmekabelreparation)</a:t>
          </a:r>
          <a:endParaRPr sz="1100"/>
        </a:p>
        <a:p>
          <a:pPr indent="0" lvl="0" marL="0" rtl="0" algn="l">
            <a:spcBef>
              <a:spcPts val="0"/>
            </a:spcBef>
            <a:spcAft>
              <a:spcPts val="0"/>
            </a:spcAft>
            <a:buNone/>
          </a:pPr>
          <a:r>
            <a:t/>
          </a:r>
          <a:endParaRPr sz="1100"/>
        </a:p>
        <a:p>
          <a:pPr indent="0" lvl="0" marL="0" rtl="0" algn="l">
            <a:spcBef>
              <a:spcPts val="0"/>
            </a:spcBef>
            <a:spcAft>
              <a:spcPts val="0"/>
            </a:spcAft>
            <a:buNone/>
          </a:pPr>
          <a:r>
            <a:t/>
          </a:r>
          <a:endParaRPr sz="1100"/>
        </a:p>
        <a:p>
          <a:pPr indent="0" lvl="0" marL="0" rtl="0" algn="l">
            <a:spcBef>
              <a:spcPts val="0"/>
            </a:spcBef>
            <a:spcAft>
              <a:spcPts val="0"/>
            </a:spcAft>
            <a:buNone/>
          </a:pPr>
          <a:r>
            <a:rPr b="0" i="1" lang="en-US" sz="1100" u="none" strike="noStrike">
              <a:solidFill>
                <a:schemeClr val="dk1"/>
              </a:solidFill>
              <a:latin typeface="Calibri"/>
              <a:ea typeface="Calibri"/>
              <a:cs typeface="Calibri"/>
              <a:sym typeface="Calibri"/>
            </a:rPr>
            <a:t>Notera: resultat är beräknade utifrån nedanstående kvadratmeter, i de fall reparationerna inte är oavhängiga kvadratmeter (case 1 &amp; case 2.1). Antal</a:t>
          </a:r>
          <a:r>
            <a:rPr b="0" i="1" lang="en-US" sz="1100" u="none" strike="noStrike">
              <a:solidFill>
                <a:schemeClr val="dk1"/>
              </a:solidFill>
              <a:latin typeface="Calibri"/>
              <a:ea typeface="Calibri"/>
              <a:cs typeface="Calibri"/>
              <a:sym typeface="Calibri"/>
            </a:rPr>
            <a:t> kvadratmeter kan justeras i cellen nedan. </a:t>
          </a:r>
          <a:r>
            <a:rPr b="0" i="1" lang="en-US" sz="1100" u="none" strike="noStrike">
              <a:solidFill>
                <a:schemeClr val="dk1"/>
              </a:solidFill>
              <a:latin typeface="Calibri"/>
              <a:ea typeface="Calibri"/>
              <a:cs typeface="Calibri"/>
              <a:sym typeface="Calibri"/>
            </a:rPr>
            <a:t> Notera: de produkter</a:t>
          </a:r>
          <a:r>
            <a:rPr b="0" i="1" lang="en-US" sz="1100" u="none" strike="noStrike">
              <a:solidFill>
                <a:schemeClr val="dk1"/>
              </a:solidFill>
              <a:latin typeface="Calibri"/>
              <a:ea typeface="Calibri"/>
              <a:cs typeface="Calibri"/>
              <a:sym typeface="Calibri"/>
            </a:rPr>
            <a:t> (förutom downlights) </a:t>
          </a:r>
          <a:r>
            <a:rPr b="0" i="1" lang="en-US" sz="1100" u="none" strike="noStrike">
              <a:solidFill>
                <a:schemeClr val="dk1"/>
              </a:solidFill>
              <a:latin typeface="Calibri"/>
              <a:ea typeface="Calibri"/>
              <a:cs typeface="Calibri"/>
              <a:sym typeface="Calibri"/>
            </a:rPr>
            <a:t>som angetts</a:t>
          </a:r>
          <a:r>
            <a:rPr b="0" i="1" lang="en-US" sz="1100" u="none" strike="noStrike">
              <a:solidFill>
                <a:schemeClr val="dk1"/>
              </a:solidFill>
              <a:latin typeface="Calibri"/>
              <a:ea typeface="Calibri"/>
              <a:cs typeface="Calibri"/>
              <a:sym typeface="Calibri"/>
            </a:rPr>
            <a:t> i antal (pieces) kräver manuell justering, om fler antal krävs.</a:t>
          </a:r>
          <a:endParaRPr b="0" i="1" sz="1100" u="none" strike="noStrike">
            <a:solidFill>
              <a:schemeClr val="dk1"/>
            </a:solidFill>
            <a:latin typeface="Calibri"/>
            <a:ea typeface="Calibri"/>
            <a:cs typeface="Calibri"/>
            <a:sym typeface="Calibri"/>
          </a:endParaRPr>
        </a:p>
      </xdr:txBody>
    </xdr:sp>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totalsRowCount="1" ref="A6:U34" displayName="Table_1" name="Table_1" id="1">
  <tableColumns count="21">
    <tableColumn totalsRowLabel="Total" name="Produkt" id="1"/>
    <tableColumn name="Material" id="2"/>
    <tableColumn name="Vikt per kvadratmeter" id="3"/>
    <tableColumn name="Vekt X m2" id="4"/>
    <tableColumn name="Enhet*" id="5"/>
    <tableColumn totalsRowFunction="custom" name="Vekt 1 m2" id="6"/>
    <tableColumn totalsRowFunction="custom" name="Vekt i kg (X kvadratmeter)" id="7"/>
    <tableColumn name="A1-A3 GWP (kgCO2e/kg)* " id="8"/>
    <tableColumn name="A1-A4 GWP (kgCO2e/kg)*" id="9"/>
    <tableColumn name="A4 GWP (kgCO2e/kg)*" id="10"/>
    <tableColumn name="C1-C4 GWP (kgCO2e/kg)*" id="11"/>
    <tableColumn totalsRowFunction="custom" name="A1-A3 KgCO2e/m2" id="12"/>
    <tableColumn totalsRowFunction="custom" name="A4 KgCO2e/m3" id="13"/>
    <tableColumn totalsRowFunction="custom" name="A1-A4 KgCO2e/m3" id="14"/>
    <tableColumn totalsRowFunction="custom" name="C1-C4 KgCO2e/m2" id="15"/>
    <tableColumn totalsRowFunction="custom" name="A1-A3 KgCO2e/ X m2" id="16"/>
    <tableColumn totalsRowFunction="custom" name="A4 KgCO2e/ X m3" id="17"/>
    <tableColumn totalsRowFunction="custom" name="A1-A4 KgCO2e/X m2" id="18"/>
    <tableColumn totalsRowFunction="custom" name="C1-C4 KgCO2e/X m2" id="19"/>
    <tableColumn totalsRowFunction="custom" name="Källa" id="20"/>
    <tableColumn name="Kommentar" id="21"/>
  </tableColumns>
  <tableStyleInfo name="Base case- rivet bad gjenbruk-style" showColumnStripes="0" showFirstColumn="1" showLastColumn="1" showRowStripes="1"/>
</table>
</file>

<file path=xl/tables/table2.xml><?xml version="1.0" encoding="utf-8"?>
<table xmlns="http://schemas.openxmlformats.org/spreadsheetml/2006/main" totalsRowCount="1" ref="A6:U34" displayName="Table_2" name="Table_2" id="2">
  <tableColumns count="21">
    <tableColumn totalsRowLabel="Total" name="Produkt" id="1"/>
    <tableColumn name="Material" id="2"/>
    <tableColumn name="Vikt per kvadratmeter" id="3"/>
    <tableColumn name="Vekt X m2" id="4"/>
    <tableColumn name="Enhet*" id="5"/>
    <tableColumn totalsRowFunction="custom" name="Vekt 1 m2" id="6"/>
    <tableColumn totalsRowFunction="custom" name="Vekt i kg (X kvadratmeter)" id="7"/>
    <tableColumn name="A1-A3 GWP (kgCO2e/kg)* " id="8"/>
    <tableColumn name="A1-A4 GWP (kgCO2e/kg)*" id="9"/>
    <tableColumn name="A4 GWP (kgCO2e/kg)*" id="10"/>
    <tableColumn name="C1-C4 GWP (kgCO2e/kg)*" id="11"/>
    <tableColumn totalsRowFunction="custom" name="A1-A3 KgCO2e/m2" id="12"/>
    <tableColumn totalsRowFunction="custom" name="A4 KgCO2e/m3" id="13"/>
    <tableColumn totalsRowFunction="custom" name="A1-A4 KgCO2e/m3" id="14"/>
    <tableColumn totalsRowFunction="custom" name="C1-C4 KgCO2e/m2" id="15"/>
    <tableColumn totalsRowFunction="custom" name="A1-A3 KgCO2e/ X m2" id="16"/>
    <tableColumn totalsRowFunction="custom" name="KgCO2e/X m2(A4 only)" id="17"/>
    <tableColumn totalsRowFunction="custom" name="A1-A4 KgCO2e/X m2" id="18"/>
    <tableColumn totalsRowFunction="custom" name="C1-C4 KgCO2e/X m2" id="19"/>
    <tableColumn totalsRowFunction="custom" name="Källa" id="20"/>
    <tableColumn name="Kommentar" id="21"/>
  </tableColumns>
  <tableStyleInfo name="Base case- rivet bad-style" showColumnStripes="0" showFirstColumn="1" showLastColumn="1" showRowStripes="1"/>
</table>
</file>

<file path=xl/tables/table3.xml><?xml version="1.0" encoding="utf-8"?>
<table xmlns="http://schemas.openxmlformats.org/spreadsheetml/2006/main" ref="A38:M44" displayName="Table_3" name="Table_3" id="3">
  <tableColumns count="13">
    <tableColumn name="Produkt" id="1"/>
    <tableColumn name="Material" id="2"/>
    <tableColumn name="Vikt per kvadratmeter" id="3"/>
    <tableColumn name="Enhet*" id="4"/>
    <tableColumn name="A1-A3 GWP (kgCO2e/kg)* " id="5"/>
    <tableColumn name="A4 GWP (kgCO2e/kg)*" id="6"/>
    <tableColumn name="A-A44 GWP (kgCO2e/kg)*2" id="7"/>
    <tableColumn name="C1-C4 GWP (kgCO2e/kg)*" id="8"/>
    <tableColumn name="A1-A3 KgCO2e/m2" id="9"/>
    <tableColumn name="A4 KgCO2e/m3" id="10"/>
    <tableColumn name="A1-A4 KgCO2e/m3" id="11"/>
    <tableColumn name="C1-C4 KgCO2e/m2" id="12"/>
    <tableColumn name="kommentar" id="13"/>
  </tableColumns>
  <tableStyleInfo name="M-TEK manipulated-style" showColumnStripes="0" showFirstColumn="1" showLastColumn="1" showRowStripes="1"/>
</table>
</file>

<file path=xl/tables/table4.xml><?xml version="1.0" encoding="utf-8"?>
<table xmlns="http://schemas.openxmlformats.org/spreadsheetml/2006/main" totalsRowCount="1" ref="A55:T64" displayName="Table_4" name="Table_4" id="4">
  <tableColumns count="20">
    <tableColumn totalsRowLabel="Total" name="Produkt" id="1"/>
    <tableColumn name="Material" id="2"/>
    <tableColumn name="Vikt per kvadratmeter" id="3"/>
    <tableColumn name="Vekt X m2" id="4"/>
    <tableColumn name="Enhet*" id="5"/>
    <tableColumn totalsRowFunction="custom" name="Vekt 1 m2" id="6"/>
    <tableColumn totalsRowFunction="custom" name="Vekt i kg (X kvadratmeter)" id="7"/>
    <tableColumn name="A1-A3 GWP (kgCO2e/kg) " id="8"/>
    <tableColumn name="A4" id="9"/>
    <tableColumn name="A1-A4 GWP (kgCO2e/kg)" id="10"/>
    <tableColumn name="C1-C4 GWP (kgCO2e/kg)" id="11"/>
    <tableColumn name="A1-A3 KgCO2e/m2" id="12"/>
    <tableColumn totalsRowFunction="custom" name="A1-A4 KgCO2e/m2" id="13"/>
    <tableColumn totalsRowFunction="custom" name="KgCO2e/m2 (A4 only)" id="14"/>
    <tableColumn totalsRowFunction="custom" name="C1-C4 KgCO2e/m2" id="15"/>
    <tableColumn name="A1-A3 KgCO2e/ X m2" id="16"/>
    <tableColumn name="KgCO2e/X m2(A4 only)" id="17"/>
    <tableColumn totalsRowFunction="custom" name="A1-A4 KgCO2e/X m2" id="18"/>
    <tableColumn totalsRowFunction="custom" name="C1-C4 KgCO2e/X m2" id="19"/>
    <tableColumn name="Källa" id="20"/>
  </tableColumns>
  <tableStyleInfo name="M-TEK manipulated-style 2" showColumnStripes="0" showFirstColumn="1" showLastColumn="1" showRowStripes="1"/>
</table>
</file>

<file path=xl/tables/table5.xml><?xml version="1.0" encoding="utf-8"?>
<table xmlns="http://schemas.openxmlformats.org/spreadsheetml/2006/main" ref="A14:L18" displayName="Table_5" name="Table_5" id="5">
  <tableColumns count="12">
    <tableColumn name="Transportberäkningar" id="1"/>
    <tableColumn name="KM t/r" id="2"/>
    <tableColumn name="Dager" id="3"/>
    <tableColumn name="Biler/dag" id="4"/>
    <tableColumn name="Källa/beskrivning av grunnlag, resonemang" id="5"/>
    <tableColumn name="Vikt (ton)" id="6"/>
    <tableColumn name="tkm" id="7"/>
    <tableColumn name="tot km" id="8"/>
    <tableColumn name="kgCO2e (tkm)" id="9"/>
    <tableColumn name="kgCO2e (km)" id="10"/>
    <tableColumn name="Diff" id="11"/>
    <tableColumn name="Kommentar CEMAsys" id="12"/>
  </tableColumns>
  <tableStyleInfo name="Transport manipulated-style" showColumnStripes="0" showFirstColumn="1" showLastColumn="1" showRowStripes="1"/>
</table>
</file>

<file path=xl/tables/table6.xml><?xml version="1.0" encoding="utf-8"?>
<table xmlns="http://schemas.openxmlformats.org/spreadsheetml/2006/main" ref="T3:X27" displayName="Table_6" name="Table_6" id="6">
  <tableColumns count="5">
    <tableColumn name="C1" id="1"/>
    <tableColumn name="C2" id="2"/>
    <tableColumn name="C3" id="3"/>
    <tableColumn name="C4" id="4"/>
    <tableColumn name="C1-C4" id="5"/>
  </tableColumns>
  <tableStyleInfo name="EPD data-style" showColumnStripes="0" showFirstColumn="1" showLastColumn="1" showRowStripes="1"/>
</table>
</file>

<file path=xl/tables/table7.xml><?xml version="1.0" encoding="utf-8"?>
<table xmlns="http://schemas.openxmlformats.org/spreadsheetml/2006/main" ref="Z13:AD14" displayName="Table_7" name="Table_7" id="7">
  <tableColumns count="5">
    <tableColumn name="C1" id="1"/>
    <tableColumn name="C2" id="2"/>
    <tableColumn name="C3" id="3"/>
    <tableColumn name="C4" id="4"/>
    <tableColumn name="C1-C4" id="5"/>
  </tableColumns>
  <tableStyleInfo name="EPD data-style 2" showColumnStripes="0" showFirstColumn="1" showLastColumn="1" showRowStripes="1"/>
</table>
</file>

<file path=xl/tables/table8.xml><?xml version="1.0" encoding="utf-8"?>
<table xmlns="http://schemas.openxmlformats.org/spreadsheetml/2006/main" ref="K3:O27" displayName="Table_8" name="Table_8" id="8">
  <tableColumns count="5">
    <tableColumn name="C1" id="1"/>
    <tableColumn name="C2" id="2"/>
    <tableColumn name="C3" id="3"/>
    <tableColumn name="C4" id="4"/>
    <tableColumn name="C1-C4" id="5"/>
  </tableColumns>
  <tableStyleInfo name="EPD overview-style" showColumnStripes="0" showFirstColumn="1" showLastColumn="1" showRowStripes="1"/>
</table>
</file>

<file path=xl/tables/table9.xml><?xml version="1.0" encoding="utf-8"?>
<table xmlns="http://schemas.openxmlformats.org/spreadsheetml/2006/main" ref="Q13:U14" displayName="Table_9" name="Table_9" id="9">
  <tableColumns count="5">
    <tableColumn name="C1" id="1"/>
    <tableColumn name="C2" id="2"/>
    <tableColumn name="C3" id="3"/>
    <tableColumn name="C4" id="4"/>
    <tableColumn name="C1-C4" id="5"/>
  </tableColumns>
  <tableStyleInfo name="EPD overview-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A5B592"/>
      </a:accent1>
      <a:accent2>
        <a:srgbClr val="F3A447"/>
      </a:accent2>
      <a:accent3>
        <a:srgbClr val="E7BC29"/>
      </a:accent3>
      <a:accent4>
        <a:srgbClr val="D092A7"/>
      </a:accent4>
      <a:accent5>
        <a:srgbClr val="9C85C0"/>
      </a:accent5>
      <a:accent6>
        <a:srgbClr val="809EC2"/>
      </a:accent6>
      <a:hlink>
        <a:srgbClr val="8E58B6"/>
      </a:hlink>
      <a:folHlink>
        <a:srgbClr val="8E58B6"/>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0" Type="http://schemas.openxmlformats.org/officeDocument/2006/relationships/hyperlink" Target="https://www.weber-norge.no/produkter/weber-flow-fix-flislim/epd-weber-flow-fix.pdf" TargetMode="External"/><Relationship Id="rId22" Type="http://schemas.openxmlformats.org/officeDocument/2006/relationships/hyperlink" Target="https://www.gustavsberg.com/fileadmin/user_upload/Gustavsberg/pdf-files/EPD_Nautic_toilet_1500_final_20210607_.pdf" TargetMode="External"/><Relationship Id="rId21" Type="http://schemas.openxmlformats.org/officeDocument/2006/relationships/hyperlink" Target="https://slidedrain.no/wp-content/uploads/2023/04/NEPD-4352-3563_Slidedrain-Model-1.pdf" TargetMode="External"/><Relationship Id="rId24" Type="http://schemas.openxmlformats.org/officeDocument/2006/relationships/drawing" Target="../drawings/drawing4.xml"/><Relationship Id="rId23" Type="http://schemas.openxmlformats.org/officeDocument/2006/relationships/hyperlink" Target="https://www.gustavsberg.com/fileadmin/user_upload/Gustavsberg/pdf-files/EPD_Acryl_product_final_20211215.pdf" TargetMode="External"/><Relationship Id="rId1" Type="http://schemas.openxmlformats.org/officeDocument/2006/relationships/comments" Target="../comments1.xml"/><Relationship Id="rId2" Type="http://schemas.openxmlformats.org/officeDocument/2006/relationships/hyperlink" Target="https://www.epd-norge.no/getfile.php/1312068-1578650752/EPDer/Byggevarer/Bygningsplater/NEPD-2001-885_Forestia-Sponplater-Standard.pdf" TargetMode="External"/><Relationship Id="rId3" Type="http://schemas.openxmlformats.org/officeDocument/2006/relationships/hyperlink" Target="https://www.epd-norge.no/getfile.php/1319541-1625737906/EPDer/Byggevarer/Heltreprodukter/NEPD-2957-1650_Trelast-furu-og-gran-fra-Bergene-Holm----.pdf" TargetMode="External"/><Relationship Id="rId4" Type="http://schemas.openxmlformats.org/officeDocument/2006/relationships/hyperlink" Target="https://www.epd-norge.no/getfile.php/1321879-1639750855/EPDer/Byggevarer/Heltreprodukter/NEPD-3275-1925_Ubehandlet-panel-av-gran-eller-furu.pdf" TargetMode="External"/><Relationship Id="rId9" Type="http://schemas.openxmlformats.org/officeDocument/2006/relationships/hyperlink" Target="https://www.epd-norge.no/getfile.php/1317243-1612800465/EPDer/Byggevarer/St%C3%A5lkonstruksjoner/NEPD-2676-1376_Kamstal-til-bruk-i-betong.pdf" TargetMode="External"/><Relationship Id="rId25" Type="http://schemas.openxmlformats.org/officeDocument/2006/relationships/vmlDrawing" Target="../drawings/vmlDrawing1.vml"/><Relationship Id="rId27" Type="http://schemas.openxmlformats.org/officeDocument/2006/relationships/table" Target="../tables/table1.xml"/><Relationship Id="rId5" Type="http://schemas.openxmlformats.org/officeDocument/2006/relationships/hyperlink" Target="https://www.epd-norge.no/getfile.php/1341159-1687797234/EPDer/Byggevarer/Bygningsplater/NEPD-4611-3874_Litex-Membrane-Board---30-mm-.pdf" TargetMode="External"/><Relationship Id="rId6" Type="http://schemas.openxmlformats.org/officeDocument/2006/relationships/hyperlink" Target="https://www.epd-norge.no/getfile.php/1323191-1648201494/EPDer/Byggevarer/Isolasjon/NEPD-3411-2024_ROCKWOOL---stone-wool-thermal-insulation--TOPROCK-System-for-the-Scandinavian-market--.pdf" TargetMode="External"/><Relationship Id="rId7" Type="http://schemas.openxmlformats.org/officeDocument/2006/relationships/hyperlink" Target="https://www.epd-norge.no/getfile.php/1317561-1614768117/EPDer/Byggevarer/Maling/NEPD-2703-1406_JOTAPROFF-AquaTech--Jotun-A-S.pdf" TargetMode="External"/><Relationship Id="rId8" Type="http://schemas.openxmlformats.org/officeDocument/2006/relationships/hyperlink" Target="https://www.epd-norge.no/getfile.php/135979-1469041555/EPDer/Byggevarer/Sement/173_Avrettingsmasse--Proplan-Basic-og-Proplan-Fin----------------------------------------------------------------------------------.pdf" TargetMode="External"/><Relationship Id="rId11" Type="http://schemas.openxmlformats.org/officeDocument/2006/relationships/hyperlink" Target="https://www.epd-norge.no/getfile.php/1313203-1587452898/EPDer/Byggevarer/Bygningsplater/NEPD-2135-966_Norgips-Standard-type-A--STD-.pdf" TargetMode="External"/><Relationship Id="rId10" Type="http://schemas.openxmlformats.org/officeDocument/2006/relationships/hyperlink" Target="https://www.epd-norge.no/getfile.php/1323381-1649243320/EPDer/Byggevarer/NEPD-3435-2046_TFXP-0-6-1kV-FleX-4G240-.pdf" TargetMode="External"/><Relationship Id="rId13" Type="http://schemas.openxmlformats.org/officeDocument/2006/relationships/hyperlink" Target="https://www.epd-norge.no/getfile.php/1346187-1697533265/EPDer/Byggevarer/NEPD-5170-4521_Rax-Surface-150-14W.pdf" TargetMode="External"/><Relationship Id="rId12" Type="http://schemas.openxmlformats.org/officeDocument/2006/relationships/hyperlink" Target="https://www.epd-norge.no/getfile.php/1345208-1695902465/EPDer/Byggevarer/R%C3%B8rsystemer/NEPD-5062-4393_Roth-MultiPex--Plus.pdf" TargetMode="External"/><Relationship Id="rId15" Type="http://schemas.openxmlformats.org/officeDocument/2006/relationships/hyperlink" Target="https://assets.hansgrohe.com/celum/web/Hansgrohe-Group-EPD-Thermostats-2023.pdf" TargetMode="External"/><Relationship Id="rId14" Type="http://schemas.openxmlformats.org/officeDocument/2006/relationships/hyperlink" Target="https://nor-sonnor.mo.cloudinary.net/PRODUCT/DOCUMENT/pictureserver/default.aspx?817a8778836e8c99c0a9b3b2bba39a93b4aabfb1b3a991a7bab4c2a4836c6066827a8a73c29b96&amp;ts=1704859296400" TargetMode="External"/><Relationship Id="rId17" Type="http://schemas.openxmlformats.org/officeDocument/2006/relationships/hyperlink" Target="https://www.epd-norge.no/getfile.php/1332567-1683558734/EPDer/Byggevarer/Maling/NEPD-4445-3706_Jotun-Aqua-Pro-Metal-Yari-Parlak--Jotun-Boya-San-ve-Tic-AS--Turkey-.pdf" TargetMode="External"/><Relationship Id="rId16" Type="http://schemas.openxmlformats.org/officeDocument/2006/relationships/hyperlink" Target="https://www.epd-norge.no/getfile.php/1345200-1695902339/EPDer/Byggevarer/R%C3%B8rsystemer/NEPD-5061-4395_Roth-Corrugated-Pipe-TG.pdf" TargetMode="External"/><Relationship Id="rId19" Type="http://schemas.openxmlformats.org/officeDocument/2006/relationships/hyperlink" Target="https://fagflis.no/wp-content/uploads/2020/08/EN_EPD_BKF_Stroher_06.10.2022.pdf" TargetMode="External"/><Relationship Id="rId18" Type="http://schemas.openxmlformats.org/officeDocument/2006/relationships/hyperlink" Target="https://www.klebstoffe.com/wp-content/uploads/2022/09/Silicone-based-products-group-1.pdf" TargetMode="External"/></Relationships>
</file>

<file path=xl/worksheets/_rels/sheet5.xml.rels><?xml version="1.0" encoding="UTF-8" standalone="yes"?><Relationships xmlns="http://schemas.openxmlformats.org/package/2006/relationships"><Relationship Id="rId20" Type="http://schemas.openxmlformats.org/officeDocument/2006/relationships/hyperlink" Target="https://www.weber-norge.no/produkter/weber-flow-fix-flislim/epd-weber-flow-fix.pdf" TargetMode="External"/><Relationship Id="rId22" Type="http://schemas.openxmlformats.org/officeDocument/2006/relationships/hyperlink" Target="https://www.gustavsberg.com/fileadmin/user_upload/Gustavsberg/pdf-files/EPD_Nautic_toilet_1500_final_20210607_.pdf" TargetMode="External"/><Relationship Id="rId21" Type="http://schemas.openxmlformats.org/officeDocument/2006/relationships/hyperlink" Target="https://slidedrain.no/wp-content/uploads/2023/04/NEPD-4352-3563_Slidedrain-Model-1.pdf" TargetMode="External"/><Relationship Id="rId24" Type="http://schemas.openxmlformats.org/officeDocument/2006/relationships/drawing" Target="../drawings/drawing5.xml"/><Relationship Id="rId23" Type="http://schemas.openxmlformats.org/officeDocument/2006/relationships/hyperlink" Target="https://www.gustavsberg.com/fileadmin/user_upload/Gustavsberg/pdf-files/EPD_Acryl_product_final_20211215.pdf" TargetMode="External"/><Relationship Id="rId1" Type="http://schemas.openxmlformats.org/officeDocument/2006/relationships/comments" Target="../comments2.xml"/><Relationship Id="rId2" Type="http://schemas.openxmlformats.org/officeDocument/2006/relationships/hyperlink" Target="https://www.epd-norge.no/getfile.php/1312068-1578650752/EPDer/Byggevarer/Bygningsplater/NEPD-2001-885_Forestia-Sponplater-Standard.pdf" TargetMode="External"/><Relationship Id="rId3" Type="http://schemas.openxmlformats.org/officeDocument/2006/relationships/hyperlink" Target="https://www.epd-norge.no/getfile.php/1319541-1625737906/EPDer/Byggevarer/Heltreprodukter/NEPD-2957-1650_Trelast-furu-og-gran-fra-Bergene-Holm----.pdf" TargetMode="External"/><Relationship Id="rId4" Type="http://schemas.openxmlformats.org/officeDocument/2006/relationships/hyperlink" Target="https://www.epd-norge.no/getfile.php/1321879-1639750855/EPDer/Byggevarer/Heltreprodukter/NEPD-3275-1925_Ubehandlet-panel-av-gran-eller-furu.pdf" TargetMode="External"/><Relationship Id="rId9" Type="http://schemas.openxmlformats.org/officeDocument/2006/relationships/hyperlink" Target="https://www.epd-norge.no/getfile.php/1317243-1612800465/EPDer/Byggevarer/St%C3%A5lkonstruksjoner/NEPD-2676-1376_Kamstal-til-bruk-i-betong.pdf" TargetMode="External"/><Relationship Id="rId25" Type="http://schemas.openxmlformats.org/officeDocument/2006/relationships/vmlDrawing" Target="../drawings/vmlDrawing2.vml"/><Relationship Id="rId27" Type="http://schemas.openxmlformats.org/officeDocument/2006/relationships/table" Target="../tables/table2.xml"/><Relationship Id="rId5" Type="http://schemas.openxmlformats.org/officeDocument/2006/relationships/hyperlink" Target="https://www.epd-norge.no/getfile.php/1341159-1687797234/EPDer/Byggevarer/Bygningsplater/NEPD-4611-3874_Litex-Membrane-Board---30-mm-.pdf" TargetMode="External"/><Relationship Id="rId6" Type="http://schemas.openxmlformats.org/officeDocument/2006/relationships/hyperlink" Target="https://www.epd-norge.no/getfile.php/1323191-1648201494/EPDer/Byggevarer/Isolasjon/NEPD-3411-2024_ROCKWOOL---stone-wool-thermal-insulation--TOPROCK-System-for-the-Scandinavian-market--.pdf" TargetMode="External"/><Relationship Id="rId7" Type="http://schemas.openxmlformats.org/officeDocument/2006/relationships/hyperlink" Target="https://www.epd-norge.no/getfile.php/1317561-1614768117/EPDer/Byggevarer/Maling/NEPD-2703-1406_JOTAPROFF-AquaTech--Jotun-A-S.pdf" TargetMode="External"/><Relationship Id="rId8" Type="http://schemas.openxmlformats.org/officeDocument/2006/relationships/hyperlink" Target="https://www.epd-norge.no/getfile.php/135979-1469041555/EPDer/Byggevarer/Sement/173_Avrettingsmasse--Proplan-Basic-og-Proplan-Fin----------------------------------------------------------------------------------.pdf" TargetMode="External"/><Relationship Id="rId11" Type="http://schemas.openxmlformats.org/officeDocument/2006/relationships/hyperlink" Target="https://www.epd-norge.no/getfile.php/1313203-1587452898/EPDer/Byggevarer/Bygningsplater/NEPD-2135-966_Norgips-Standard-type-A--STD-.pdf" TargetMode="External"/><Relationship Id="rId10" Type="http://schemas.openxmlformats.org/officeDocument/2006/relationships/hyperlink" Target="https://www.epd-norge.no/getfile.php/1323381-1649243320/EPDer/Byggevarer/NEPD-3435-2046_TFXP-0-6-1kV-FleX-4G240-.pdf" TargetMode="External"/><Relationship Id="rId13" Type="http://schemas.openxmlformats.org/officeDocument/2006/relationships/hyperlink" Target="https://www.epd-norge.no/getfile.php/1346187-1697533265/EPDer/Byggevarer/NEPD-5170-4521_Rax-Surface-150-14W.pdf" TargetMode="External"/><Relationship Id="rId12" Type="http://schemas.openxmlformats.org/officeDocument/2006/relationships/hyperlink" Target="https://www.epd-norge.no/getfile.php/1345208-1695902465/EPDer/Byggevarer/R%C3%B8rsystemer/NEPD-5062-4393_Roth-MultiPex--Plus.pdf" TargetMode="External"/><Relationship Id="rId15" Type="http://schemas.openxmlformats.org/officeDocument/2006/relationships/hyperlink" Target="https://assets.hansgrohe.com/celum/web/Hansgrohe-Group-EPD-Thermostats-2023.pdf" TargetMode="External"/><Relationship Id="rId14" Type="http://schemas.openxmlformats.org/officeDocument/2006/relationships/hyperlink" Target="https://nor-sonnor.mo.cloudinary.net/PRODUCT/DOCUMENT/pictureserver/default.aspx?817a8778836e8c99c0a9b3b2bba39a93b4aabfb1b3a991a7bab4c2a4836c6066827a8a73c29b96&amp;ts=1704859296400" TargetMode="External"/><Relationship Id="rId17" Type="http://schemas.openxmlformats.org/officeDocument/2006/relationships/hyperlink" Target="https://www.epd-norge.no/getfile.php/1332567-1683558734/EPDer/Byggevarer/Maling/NEPD-4445-3706_Jotun-Aqua-Pro-Metal-Yari-Parlak--Jotun-Boya-San-ve-Tic-AS--Turkey-.pdf" TargetMode="External"/><Relationship Id="rId16" Type="http://schemas.openxmlformats.org/officeDocument/2006/relationships/hyperlink" Target="https://www.epd-norge.no/getfile.php/1345200-1695902339/EPDer/Byggevarer/R%C3%B8rsystemer/NEPD-5061-4395_Roth-Corrugated-Pipe-TG.pdf" TargetMode="External"/><Relationship Id="rId19" Type="http://schemas.openxmlformats.org/officeDocument/2006/relationships/hyperlink" Target="https://fagflis.no/wp-content/uploads/2020/08/EN_EPD_BKF_Stroher_06.10.2022.pdf" TargetMode="External"/><Relationship Id="rId18" Type="http://schemas.openxmlformats.org/officeDocument/2006/relationships/hyperlink" Target="https://www.klebstoffe.com/wp-content/uploads/2022/09/Silicone-based-products-group-1.pdf" TargetMode="External"/></Relationships>
</file>

<file path=xl/worksheets/_rels/sheet6.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6.xml"/><Relationship Id="rId3" Type="http://schemas.openxmlformats.org/officeDocument/2006/relationships/vmlDrawing" Target="../drawings/vmlDrawing3.vml"/><Relationship Id="rId6" Type="http://schemas.openxmlformats.org/officeDocument/2006/relationships/table" Target="../tables/table3.xml"/><Relationship Id="rId7"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0" Type="http://schemas.openxmlformats.org/officeDocument/2006/relationships/hyperlink" Target="https://www.gustavsberg.com/fileadmin/user_upload/Gustavsberg/pdf-files/EPD_Nautic_toilet_1500_final_20210607_.pdf" TargetMode="External"/><Relationship Id="rId22" Type="http://schemas.openxmlformats.org/officeDocument/2006/relationships/hyperlink" Target="https://www.gustavsberg.com/fileadmin/user_upload/Gustavsberg/pdf-files/EPD_Acryl_product_final_20211215.pdf" TargetMode="External"/><Relationship Id="rId21" Type="http://schemas.openxmlformats.org/officeDocument/2006/relationships/hyperlink" Target="https://api.environdec.com/api/v1/EPDLibrary/Files/e337b034-a654-4918-70bd-08db473a5587/Data" TargetMode="External"/><Relationship Id="rId24" Type="http://schemas.openxmlformats.org/officeDocument/2006/relationships/hyperlink" Target="https://nor-sonnor.mo.cloudinary.net/PRODUCT/DOCUMENT/pictureserver/default.aspx?817a8778836e8c99c0a9b3b2bba39a93b4aabfb1b3a991a7bab4c2a4836c6066827a8a73c29b96&amp;ts=1704859296400" TargetMode="External"/><Relationship Id="rId23" Type="http://schemas.openxmlformats.org/officeDocument/2006/relationships/hyperlink" Target="https://www.epd-norge.no/getfile.php/1346187-1697533265/EPDer/Byggevarer/NEPD-5170-4521_Rax-Surface-150-14W.pdf" TargetMode="External"/><Relationship Id="rId1" Type="http://schemas.openxmlformats.org/officeDocument/2006/relationships/comments" Target="../comments4.xml"/><Relationship Id="rId2" Type="http://schemas.openxmlformats.org/officeDocument/2006/relationships/hyperlink" Target="https://www.epd-norge.no/getfile.php/1312068-1578650752/EPDer/Byggevarer/Bygningsplater/NEPD-2001-885_Forestia-Sponplater-Standard.pdf" TargetMode="External"/><Relationship Id="rId3" Type="http://schemas.openxmlformats.org/officeDocument/2006/relationships/hyperlink" Target="https://www.epd-norge.no/getfile.php/1319541-1625737906/EPDer/Byggevarer/Heltreprodukter/NEPD-2957-1650_Trelast-furu-og-gran-fra-Bergene-Holm----.pdf" TargetMode="External"/><Relationship Id="rId4" Type="http://schemas.openxmlformats.org/officeDocument/2006/relationships/hyperlink" Target="https://www.epd-norge.no/getfile.php/1321879-1639750855/EPDer/Byggevarer/Heltreprodukter/NEPD-3275-1925_Ubehandlet-panel-av-gran-eller-furu.pdf" TargetMode="External"/><Relationship Id="rId9" Type="http://schemas.openxmlformats.org/officeDocument/2006/relationships/hyperlink" Target="https://www.epd-norge.no/getfile.php/135979-1469041555/EPDer/Byggevarer/Sement/173_Avrettingsmasse--Proplan-Basic-og-Proplan-Fin----------------------------------------------------------------------------------.pdf" TargetMode="External"/><Relationship Id="rId26" Type="http://schemas.openxmlformats.org/officeDocument/2006/relationships/hyperlink" Target="https://www.epd-norge.no/getfile.php/1345200-1695902339/EPDer/Byggevarer/R%C3%B8rsystemer/NEPD-5061-4395_Roth-Corrugated-Pipe-TG.pdf" TargetMode="External"/><Relationship Id="rId25" Type="http://schemas.openxmlformats.org/officeDocument/2006/relationships/hyperlink" Target="https://assets.hansgrohe.com/celum/web/Hansgrohe-Group-EPD-Thermostats-2023.pdf" TargetMode="External"/><Relationship Id="rId28" Type="http://schemas.openxmlformats.org/officeDocument/2006/relationships/vmlDrawing" Target="../drawings/vmlDrawing4.vml"/><Relationship Id="rId27" Type="http://schemas.openxmlformats.org/officeDocument/2006/relationships/drawing" Target="../drawings/drawing9.xml"/><Relationship Id="rId5" Type="http://schemas.openxmlformats.org/officeDocument/2006/relationships/hyperlink" Target="https://www.epd-norge.no/getfile.php/1341159-1687797234/EPDer/Byggevarer/Bygningsplater/NEPD-4611-3874_Litex-Membrane-Board---30-mm-.pdf" TargetMode="External"/><Relationship Id="rId6" Type="http://schemas.openxmlformats.org/officeDocument/2006/relationships/hyperlink" Target="https://www.epd-norge.no/getfile.php/1323191-1648201494/EPDer/Byggevarer/Isolasjon/NEPD-3411-2024_ROCKWOOL---stone-wool-thermal-insulation--TOPROCK-System-for-the-Scandinavian-market--.pdf" TargetMode="External"/><Relationship Id="rId7" Type="http://schemas.openxmlformats.org/officeDocument/2006/relationships/hyperlink" Target="https://www.epd-norge.no/getfile.php/1317561-1614768117/EPDer/Byggevarer/Maling/NEPD-2703-1406_JOTAPROFF-AquaTech--Jotun-A-S.pdf" TargetMode="External"/><Relationship Id="rId8" Type="http://schemas.openxmlformats.org/officeDocument/2006/relationships/hyperlink" Target="https://www.epd-norge.no/getfile.php/135979-1469041555/EPDer/Byggevarer/Sement/173_Avrettingsmasse--Proplan-Basic-og-Proplan-Fin----------------------------------------------------------------------------------.pdf" TargetMode="External"/><Relationship Id="rId31" Type="http://schemas.openxmlformats.org/officeDocument/2006/relationships/table" Target="../tables/table6.xml"/><Relationship Id="rId11" Type="http://schemas.openxmlformats.org/officeDocument/2006/relationships/hyperlink" Target="https://www.epd-norge.no/getfile.php/1323381-1649243320/EPDer/Byggevarer/NEPD-3435-2046_TFXP-0-6-1kV-FleX-4G240-.pdf" TargetMode="External"/><Relationship Id="rId10" Type="http://schemas.openxmlformats.org/officeDocument/2006/relationships/hyperlink" Target="https://www.epd-norge.no/getfile.php/1317243-1612800465/EPDer/Byggevarer/St%C3%A5lkonstruksjoner/NEPD-2676-1376_Kamstal-til-bruk-i-betong.pdf" TargetMode="External"/><Relationship Id="rId32" Type="http://schemas.openxmlformats.org/officeDocument/2006/relationships/table" Target="../tables/table7.xml"/><Relationship Id="rId13" Type="http://schemas.openxmlformats.org/officeDocument/2006/relationships/hyperlink" Target="https://www.epd-norge.no/getfile.php/1345208-1695902465/EPDer/Byggevarer/R%C3%B8rsystemer/NEPD-5062-4393_Roth-MultiPex--Plus.pdf" TargetMode="External"/><Relationship Id="rId12" Type="http://schemas.openxmlformats.org/officeDocument/2006/relationships/hyperlink" Target="https://www.epd-norge.no/getfile.php/1313203-1587452898/EPDer/Byggevarer/Bygningsplater/NEPD-2135-966_Norgips-Standard-type-A--STD-.pdf" TargetMode="External"/><Relationship Id="rId15" Type="http://schemas.openxmlformats.org/officeDocument/2006/relationships/hyperlink" Target="https://www.klebstoffe.com/wp-content/uploads/2022/09/Silicone-based-products-group-1.pdf" TargetMode="External"/><Relationship Id="rId14" Type="http://schemas.openxmlformats.org/officeDocument/2006/relationships/hyperlink" Target="https://www.epd-norge.no/getfile.php/1332567-1683558734/EPDer/Byggevarer/Maling/NEPD-4445-3706_Jotun-Aqua-Pro-Metal-Yari-Parlak--Jotun-Boya-San-ve-Tic-AS--Turkey-.pdf" TargetMode="External"/><Relationship Id="rId17" Type="http://schemas.openxmlformats.org/officeDocument/2006/relationships/hyperlink" Target="https://www.weber-norge.no/produkter/weber-flow-fix-flislim/epd-weber-flow-fix.pdf" TargetMode="External"/><Relationship Id="rId16" Type="http://schemas.openxmlformats.org/officeDocument/2006/relationships/hyperlink" Target="https://fagflis.no/wp-content/uploads/2020/08/EN_EPD_BKF_Stroher_06.10.2022.pdf" TargetMode="External"/><Relationship Id="rId19" Type="http://schemas.openxmlformats.org/officeDocument/2006/relationships/hyperlink" Target="https://www.geberit.com/_assets/local-media/files/sustainability/product-declarations/en/epd-geberit-duofix-element-wc-sigma12-hub-0259-2023-02-02.pdf" TargetMode="External"/><Relationship Id="rId18" Type="http://schemas.openxmlformats.org/officeDocument/2006/relationships/hyperlink" Target="https://slidedrain.no/wp-content/uploads/2023/04/NEPD-4352-3563_Slidedrain-Model-1.pdf" TargetMode="External"/></Relationships>
</file>

<file path=xl/worksheets/_rels/sheet10.xml.rels><?xml version="1.0" encoding="UTF-8" standalone="yes"?><Relationships xmlns="http://schemas.openxmlformats.org/package/2006/relationships"><Relationship Id="rId20" Type="http://schemas.openxmlformats.org/officeDocument/2006/relationships/hyperlink" Target="https://www.gustavsberg.com/fileadmin/user_upload/Gustavsberg/pdf-files/EPD_Nautic_toilet_1500_final_20210607_.pdf" TargetMode="External"/><Relationship Id="rId22" Type="http://schemas.openxmlformats.org/officeDocument/2006/relationships/hyperlink" Target="https://www.gustavsberg.com/fileadmin/user_upload/Gustavsberg/pdf-files/EPD_Acryl_product_final_20211215.pdf" TargetMode="External"/><Relationship Id="rId21" Type="http://schemas.openxmlformats.org/officeDocument/2006/relationships/hyperlink" Target="https://api.environdec.com/api/v1/EPDLibrary/Files/e337b034-a654-4918-70bd-08db473a5587/Data" TargetMode="External"/><Relationship Id="rId24" Type="http://schemas.openxmlformats.org/officeDocument/2006/relationships/hyperlink" Target="https://nor-sonnor.mo.cloudinary.net/PRODUCT/DOCUMENT/pictureserver/default.aspx?817a8778836e8c99c0a9b3b2bba39a93b4aabfb1b3a991a7bab4c2a4836c6066827a8a73c29b96&amp;ts=1704859296400" TargetMode="External"/><Relationship Id="rId23" Type="http://schemas.openxmlformats.org/officeDocument/2006/relationships/hyperlink" Target="https://www.epd-norge.no/getfile.php/1346187-1697533265/EPDer/Byggevarer/NEPD-5170-4521_Rax-Surface-150-14W.pdf" TargetMode="External"/><Relationship Id="rId1" Type="http://schemas.openxmlformats.org/officeDocument/2006/relationships/comments" Target="../comments5.xml"/><Relationship Id="rId2" Type="http://schemas.openxmlformats.org/officeDocument/2006/relationships/hyperlink" Target="https://www.epd-norge.no/getfile.php/1312068-1578650752/EPDer/Byggevarer/Bygningsplater/NEPD-2001-885_Forestia-Sponplater-Standard.pdf" TargetMode="External"/><Relationship Id="rId3" Type="http://schemas.openxmlformats.org/officeDocument/2006/relationships/hyperlink" Target="https://www.epd-norge.no/getfile.php/1319541-1625737906/EPDer/Byggevarer/Heltreprodukter/NEPD-2957-1650_Trelast-furu-og-gran-fra-Bergene-Holm----.pdf" TargetMode="External"/><Relationship Id="rId4" Type="http://schemas.openxmlformats.org/officeDocument/2006/relationships/hyperlink" Target="https://www.epd-norge.no/getfile.php/1321879-1639750855/EPDer/Byggevarer/Heltreprodukter/NEPD-3275-1925_Ubehandlet-panel-av-gran-eller-furu.pdf" TargetMode="External"/><Relationship Id="rId9" Type="http://schemas.openxmlformats.org/officeDocument/2006/relationships/hyperlink" Target="https://www.epd-norge.no/getfile.php/135979-1469041555/EPDer/Byggevarer/Sement/173_Avrettingsmasse--Proplan-Basic-og-Proplan-Fin----------------------------------------------------------------------------------.pdf" TargetMode="External"/><Relationship Id="rId26" Type="http://schemas.openxmlformats.org/officeDocument/2006/relationships/hyperlink" Target="https://www.epd-norge.no/getfile.php/1345200-1695902339/EPDer/Byggevarer/R%C3%B8rsystemer/NEPD-5061-4395_Roth-Corrugated-Pipe-TG.pdf" TargetMode="External"/><Relationship Id="rId25" Type="http://schemas.openxmlformats.org/officeDocument/2006/relationships/hyperlink" Target="https://assets.hansgrohe.com/celum/web/Hansgrohe-Group-EPD-Thermostats-2023.pdf" TargetMode="External"/><Relationship Id="rId28" Type="http://schemas.openxmlformats.org/officeDocument/2006/relationships/vmlDrawing" Target="../drawings/vmlDrawing5.vml"/><Relationship Id="rId27" Type="http://schemas.openxmlformats.org/officeDocument/2006/relationships/drawing" Target="../drawings/drawing10.xml"/><Relationship Id="rId5" Type="http://schemas.openxmlformats.org/officeDocument/2006/relationships/hyperlink" Target="https://www.epd-norge.no/getfile.php/1341159-1687797234/EPDer/Byggevarer/Bygningsplater/NEPD-4611-3874_Litex-Membrane-Board---30-mm-.pdf" TargetMode="External"/><Relationship Id="rId6" Type="http://schemas.openxmlformats.org/officeDocument/2006/relationships/hyperlink" Target="https://www.epd-norge.no/getfile.php/1323191-1648201494/EPDer/Byggevarer/Isolasjon/NEPD-3411-2024_ROCKWOOL---stone-wool-thermal-insulation--TOPROCK-System-for-the-Scandinavian-market--.pdf" TargetMode="External"/><Relationship Id="rId7" Type="http://schemas.openxmlformats.org/officeDocument/2006/relationships/hyperlink" Target="https://www.epd-norge.no/getfile.php/1317561-1614768117/EPDer/Byggevarer/Maling/NEPD-2703-1406_JOTAPROFF-AquaTech--Jotun-A-S.pdf" TargetMode="External"/><Relationship Id="rId8" Type="http://schemas.openxmlformats.org/officeDocument/2006/relationships/hyperlink" Target="https://www.epd-norge.no/getfile.php/135979-1469041555/EPDer/Byggevarer/Sement/173_Avrettingsmasse--Proplan-Basic-og-Proplan-Fin----------------------------------------------------------------------------------.pdf" TargetMode="External"/><Relationship Id="rId31" Type="http://schemas.openxmlformats.org/officeDocument/2006/relationships/table" Target="../tables/table8.xml"/><Relationship Id="rId11" Type="http://schemas.openxmlformats.org/officeDocument/2006/relationships/hyperlink" Target="https://www.epd-norge.no/getfile.php/1323381-1649243320/EPDer/Byggevarer/NEPD-3435-2046_TFXP-0-6-1kV-FleX-4G240-.pdf" TargetMode="External"/><Relationship Id="rId10" Type="http://schemas.openxmlformats.org/officeDocument/2006/relationships/hyperlink" Target="https://www.epd-norge.no/getfile.php/1317243-1612800465/EPDer/Byggevarer/St%C3%A5lkonstruksjoner/NEPD-2676-1376_Kamstal-til-bruk-i-betong.pdf" TargetMode="External"/><Relationship Id="rId32" Type="http://schemas.openxmlformats.org/officeDocument/2006/relationships/table" Target="../tables/table9.xml"/><Relationship Id="rId13" Type="http://schemas.openxmlformats.org/officeDocument/2006/relationships/hyperlink" Target="https://www.epd-norge.no/getfile.php/1345208-1695902465/EPDer/Byggevarer/R%C3%B8rsystemer/NEPD-5062-4393_Roth-MultiPex--Plus.pdf" TargetMode="External"/><Relationship Id="rId12" Type="http://schemas.openxmlformats.org/officeDocument/2006/relationships/hyperlink" Target="https://www.epd-norge.no/getfile.php/1313203-1587452898/EPDer/Byggevarer/Bygningsplater/NEPD-2135-966_Norgips-Standard-type-A--STD-.pdf" TargetMode="External"/><Relationship Id="rId15" Type="http://schemas.openxmlformats.org/officeDocument/2006/relationships/hyperlink" Target="https://www.klebstoffe.com/wp-content/uploads/2022/09/Silicone-based-products-group-1.pdf" TargetMode="External"/><Relationship Id="rId14" Type="http://schemas.openxmlformats.org/officeDocument/2006/relationships/hyperlink" Target="https://www.epd-norge.no/getfile.php/1332567-1683558734/EPDer/Byggevarer/Maling/NEPD-4445-3706_Jotun-Aqua-Pro-Metal-Yari-Parlak--Jotun-Boya-San-ve-Tic-AS--Turkey-.pdf" TargetMode="External"/><Relationship Id="rId17" Type="http://schemas.openxmlformats.org/officeDocument/2006/relationships/hyperlink" Target="https://www.weber-norge.no/produkter/weber-flow-fix-flislim/epd-weber-flow-fix.pdf" TargetMode="External"/><Relationship Id="rId16" Type="http://schemas.openxmlformats.org/officeDocument/2006/relationships/hyperlink" Target="https://fagflis.no/wp-content/uploads/2020/08/EN_EPD_BKF_Stroher_06.10.2022.pdf" TargetMode="External"/><Relationship Id="rId19" Type="http://schemas.openxmlformats.org/officeDocument/2006/relationships/hyperlink" Target="https://www.geberit.com/_assets/local-media/files/sustainability/product-declarations/en/epd-geberit-duofix-element-wc-sigma12-hub-0259-2023-02-02.pdf" TargetMode="External"/><Relationship Id="rId18" Type="http://schemas.openxmlformats.org/officeDocument/2006/relationships/hyperlink" Target="https://slidedrain.no/wp-content/uploads/2023/04/NEPD-4352-3563_Slidedrain-Model-1.pdf" TargetMode="External"/></Relationships>
</file>

<file path=xl/worksheets/_rels/sheet11.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11.xml"/><Relationship Id="rId3"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20" Type="http://schemas.openxmlformats.org/officeDocument/2006/relationships/hyperlink" Target="https://fagflis.no/wp-content/uploads/2020/08/EN_EPD_BKF_Stroher_06.10.2022.pdf" TargetMode="External"/><Relationship Id="rId22" Type="http://schemas.openxmlformats.org/officeDocument/2006/relationships/hyperlink" Target="https://cdn.byggtjeneste.no/nobb/234a7818-fad0-4ebf-b392-5b7721a183f7" TargetMode="External"/><Relationship Id="rId21" Type="http://schemas.openxmlformats.org/officeDocument/2006/relationships/hyperlink" Target="https://www.weber-norge.no/produkter/weber-flow-fix-flislim/epd-weber-flow-fix.pdf" TargetMode="External"/><Relationship Id="rId24" Type="http://schemas.openxmlformats.org/officeDocument/2006/relationships/hyperlink" Target="https://www.gustavsberg.com/fileadmin/user_upload/Gustavsberg/pdf-files/EPD_Acryl_product_final_20211215.pdf" TargetMode="External"/><Relationship Id="rId23" Type="http://schemas.openxmlformats.org/officeDocument/2006/relationships/hyperlink" Target="https://www.gustavsberg.com/fileadmin/user_upload/Gustavsberg/pdf-files/EPD_Nautic_toilet_1500_final_20210607_.pdf" TargetMode="External"/><Relationship Id="rId1" Type="http://schemas.openxmlformats.org/officeDocument/2006/relationships/hyperlink" Target="https://www.epd-norge.no/getfile.php/1312068-1578650752/EPDer/Byggevarer/Bygningsplater/NEPD-2001-885_Forestia-Sponplater-Standard.pdf" TargetMode="External"/><Relationship Id="rId2" Type="http://schemas.openxmlformats.org/officeDocument/2006/relationships/hyperlink" Target="https://www.epd-norge.no/getfile.php/1319541-1625737906/EPDer/Byggevarer/Heltreprodukter/NEPD-2957-1650_Trelast-furu-og-gran-fra-Bergene-Holm----.pdf" TargetMode="External"/><Relationship Id="rId3" Type="http://schemas.openxmlformats.org/officeDocument/2006/relationships/hyperlink" Target="https://www.epd-norge.no/getfile.php/1321879-1639750855/EPDer/Byggevarer/Heltreprodukter/NEPD-3275-1925_Ubehandlet-panel-av-gran-eller-furu.pdf" TargetMode="External"/><Relationship Id="rId4" Type="http://schemas.openxmlformats.org/officeDocument/2006/relationships/hyperlink" Target="https://www.epd-norge.no/getfile.php/1341159-1687797234/EPDer/Byggevarer/Bygningsplater/NEPD-4611-3874_Litex-Membrane-Board---30-mm-.pdf" TargetMode="External"/><Relationship Id="rId9" Type="http://schemas.openxmlformats.org/officeDocument/2006/relationships/hyperlink" Target="https://www.epd-norge.no/getfile.php/1317243-1612800465/EPDer/Byggevarer/St%C3%A5lkonstruksjoner/NEPD-2676-1376_Kamstal-til-bruk-i-betong.pdf" TargetMode="External"/><Relationship Id="rId26" Type="http://schemas.openxmlformats.org/officeDocument/2006/relationships/hyperlink" Target="https://www.epd-norge.no/getfile.php/1323381-1649243320/EPDer/Byggevarer/NEPD-3435-2046_TFXP-0-6-1kV-FleX-4G240-.pdf" TargetMode="External"/><Relationship Id="rId25" Type="http://schemas.openxmlformats.org/officeDocument/2006/relationships/hyperlink" Target="https://fagflis.no/wp-content/uploads/2020/08/EN_EPD_BKF_Stroher_06.10.2022.pdf" TargetMode="External"/><Relationship Id="rId28" Type="http://schemas.openxmlformats.org/officeDocument/2006/relationships/hyperlink" Target="https://www.epd-norge.no/getfile.php/1332489-1683206813/EPDer/Byggevarer/Isolasjon/NEPD-4437-3697_JACKOFOAM-XPS-NORWAY.pdf" TargetMode="External"/><Relationship Id="rId27" Type="http://schemas.openxmlformats.org/officeDocument/2006/relationships/hyperlink" Target="https://www.epd-norge.no/getfile.php/1341159-1687797234/EPDer/Byggevarer/Bygningsplater/NEPD-4611-3874_Litex-Membrane-Board---30-mm-.pdf" TargetMode="External"/><Relationship Id="rId5" Type="http://schemas.openxmlformats.org/officeDocument/2006/relationships/hyperlink" Target="https://www.epd-norge.no/getfile.php/1332489-1683206813/EPDer/Byggevarer/Isolasjon/NEPD-4437-3697_JACKOFOAM-XPS-NORWAY.pdf" TargetMode="External"/><Relationship Id="rId6" Type="http://schemas.openxmlformats.org/officeDocument/2006/relationships/hyperlink" Target="https://www.epd-norge.no/getfile.php/1323191-1648201494/EPDer/Byggevarer/Isolasjon/NEPD-3411-2024_ROCKWOOL---stone-wool-thermal-insulation--TOPROCK-System-for-the-Scandinavian-market--.pdf" TargetMode="External"/><Relationship Id="rId29" Type="http://schemas.openxmlformats.org/officeDocument/2006/relationships/drawing" Target="../drawings/drawing12.xml"/><Relationship Id="rId7" Type="http://schemas.openxmlformats.org/officeDocument/2006/relationships/hyperlink" Target="https://www.epd-norge.no/getfile.php/1317561-1614768117/EPDer/Byggevarer/Maling/NEPD-2703-1406_JOTAPROFF-AquaTech--Jotun-A-S.pdf" TargetMode="External"/><Relationship Id="rId8" Type="http://schemas.openxmlformats.org/officeDocument/2006/relationships/hyperlink" Target="https://www.epd-norge.no/getfile.php/135979-1469041555/EPDer/Byggevarer/Sement/173_Avrettingsmasse--Proplan-Basic-og-Proplan-Fin----------------------------------------------------------------------------------.pdf" TargetMode="External"/><Relationship Id="rId11" Type="http://schemas.openxmlformats.org/officeDocument/2006/relationships/hyperlink" Target="https://www.epd-norge.no/getfile.php/1313203-1587452898/EPDer/Byggevarer/Bygningsplater/NEPD-2135-966_Norgips-Standard-type-A--STD-.pdf" TargetMode="External"/><Relationship Id="rId10" Type="http://schemas.openxmlformats.org/officeDocument/2006/relationships/hyperlink" Target="https://www.epd-norge.no/getfile.php/1323381-1649243320/EPDer/Byggevarer/NEPD-3435-2046_TFXP-0-6-1kV-FleX-4G240-.pdf" TargetMode="External"/><Relationship Id="rId13" Type="http://schemas.openxmlformats.org/officeDocument/2006/relationships/hyperlink" Target="https://www.epd-norge.no/getfile.php/1325314-1668446358/EPDer/Byggevarer/R%C3%B8rsystemer/NEPD-3587-2251_Wafix-PP.pdf" TargetMode="External"/><Relationship Id="rId12" Type="http://schemas.openxmlformats.org/officeDocument/2006/relationships/hyperlink" Target="https://www.epd-norge.no/getfile.php/1345208-1695902465/EPDer/Byggevarer/R%C3%B8rsystemer/NEPD-5062-4393_Roth-MultiPex--Plus.pdf" TargetMode="External"/><Relationship Id="rId15" Type="http://schemas.openxmlformats.org/officeDocument/2006/relationships/hyperlink" Target="https://nor-sonnor.mo.cloudinary.net/PRODUCT/DOCUMENT/pictureserver/default.aspx?817a8778836e8c99c0a9b3b2bba39a93b4aabfb1b3a991a7bab4c2a4836c6066827a8a73c29b96&amp;ts=1704859296400" TargetMode="External"/><Relationship Id="rId14" Type="http://schemas.openxmlformats.org/officeDocument/2006/relationships/hyperlink" Target="https://www.epd-norge.no/getfile.php/1346187-1697533265/EPDer/Byggevarer/NEPD-5170-4521_Rax-Surface-150-14W.pdf" TargetMode="External"/><Relationship Id="rId17" Type="http://schemas.openxmlformats.org/officeDocument/2006/relationships/hyperlink" Target="https://www.epd-norge.no/getfile.php/1345200-1695902339/EPDer/Byggevarer/R%C3%B8rsystemer/NEPD-5061-4395_Roth-Corrugated-Pipe-TG.pdf" TargetMode="External"/><Relationship Id="rId16" Type="http://schemas.openxmlformats.org/officeDocument/2006/relationships/hyperlink" Target="https://assets.hansgrohe.com/celum/web/Hansgrohe-Group-EPD-Thermostats-2023.pdf" TargetMode="External"/><Relationship Id="rId19" Type="http://schemas.openxmlformats.org/officeDocument/2006/relationships/hyperlink" Target="https://www.klebstoffe.com/wp-content/uploads/2022/09/Silicone-based-products-group-1.pdf" TargetMode="External"/><Relationship Id="rId18" Type="http://schemas.openxmlformats.org/officeDocument/2006/relationships/hyperlink" Target="https://www.epd-norge.no/getfile.php/1332567-1683558734/EPDer/Byggevarer/Maling/NEPD-4445-3706_Jotun-Aqua-Pro-Metal-Yari-Parlak--Jotun-Boya-San-ve-Tic-AS--Turkey-.pdf"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5E9ED"/>
    <pageSetUpPr/>
  </sheetPr>
  <sheetViews>
    <sheetView workbookViewId="0"/>
  </sheetViews>
  <sheetFormatPr customHeight="1" defaultColWidth="14.43" defaultRowHeight="15.0"/>
  <cols>
    <col customWidth="1" min="1" max="13" width="9.14"/>
    <col customWidth="1" min="14" max="14" width="9.43"/>
    <col customWidth="1" min="15" max="15" width="26.29"/>
    <col customWidth="1" min="16" max="26" width="9.14"/>
  </cols>
  <sheetData>
    <row r="1">
      <c r="A1" s="1" t="s">
        <v>0</v>
      </c>
      <c r="B1" s="2"/>
      <c r="C1" s="2"/>
      <c r="D1" s="2"/>
      <c r="E1" s="2"/>
      <c r="F1" s="2"/>
      <c r="G1" s="2"/>
      <c r="H1" s="2"/>
      <c r="I1" s="2"/>
      <c r="J1" s="2"/>
      <c r="K1" s="2"/>
      <c r="L1" s="2"/>
      <c r="M1" s="2"/>
      <c r="N1" s="2"/>
      <c r="O1" s="2"/>
      <c r="P1" s="2"/>
      <c r="Q1" s="2"/>
      <c r="R1" s="2"/>
      <c r="S1" s="2"/>
      <c r="T1" s="2"/>
      <c r="U1" s="2"/>
      <c r="V1" s="2"/>
      <c r="W1" s="2"/>
      <c r="X1" s="2"/>
      <c r="Y1" s="2"/>
      <c r="Z1" s="2"/>
    </row>
    <row r="2" ht="14.25" customHeight="1">
      <c r="A2" s="3"/>
      <c r="B2" s="2"/>
      <c r="C2" s="2"/>
      <c r="D2" s="2"/>
      <c r="E2" s="2"/>
      <c r="F2" s="2"/>
      <c r="G2" s="2"/>
      <c r="H2" s="2"/>
      <c r="I2" s="2"/>
      <c r="J2" s="2"/>
      <c r="K2" s="2"/>
      <c r="L2" s="2"/>
      <c r="M2" s="2"/>
      <c r="N2" s="2"/>
      <c r="O2" s="4" t="s">
        <v>1</v>
      </c>
      <c r="P2" s="5"/>
      <c r="Q2" s="5"/>
      <c r="R2" s="2"/>
      <c r="S2" s="2"/>
      <c r="T2" s="2"/>
      <c r="U2" s="2"/>
      <c r="V2" s="2"/>
      <c r="W2" s="2"/>
      <c r="X2" s="2"/>
      <c r="Y2" s="2"/>
      <c r="Z2" s="2"/>
    </row>
    <row r="3" ht="16.5" customHeight="1">
      <c r="A3" s="3"/>
      <c r="B3" s="2"/>
      <c r="C3" s="2"/>
      <c r="D3" s="2"/>
      <c r="E3" s="2"/>
      <c r="F3" s="2"/>
      <c r="G3" s="2"/>
      <c r="H3" s="2"/>
      <c r="I3" s="2"/>
      <c r="J3" s="2"/>
      <c r="K3" s="2"/>
      <c r="L3" s="2"/>
      <c r="M3" s="2"/>
      <c r="N3" s="2"/>
      <c r="O3" s="6" t="s">
        <v>2</v>
      </c>
      <c r="P3" s="2"/>
      <c r="Q3" s="2"/>
      <c r="R3" s="2"/>
      <c r="S3" s="2"/>
      <c r="T3" s="2"/>
      <c r="U3" s="2"/>
      <c r="V3" s="2"/>
      <c r="W3" s="2"/>
      <c r="X3" s="2"/>
      <c r="Y3" s="2"/>
      <c r="Z3" s="2"/>
    </row>
    <row r="4" ht="31.5" customHeight="1">
      <c r="A4" s="3"/>
      <c r="B4" s="2"/>
      <c r="C4" s="2"/>
      <c r="D4" s="2"/>
      <c r="E4" s="2"/>
      <c r="F4" s="2"/>
      <c r="G4" s="2"/>
      <c r="H4" s="2"/>
      <c r="I4" s="2"/>
      <c r="J4" s="2"/>
      <c r="K4" s="2"/>
      <c r="L4" s="2"/>
      <c r="M4" s="2"/>
      <c r="N4" s="2"/>
      <c r="O4" s="7" t="s">
        <v>3</v>
      </c>
      <c r="P4" s="2"/>
      <c r="Q4" s="2"/>
      <c r="R4" s="2"/>
      <c r="S4" s="2"/>
      <c r="T4" s="2"/>
      <c r="U4" s="2"/>
      <c r="V4" s="2"/>
      <c r="W4" s="2"/>
      <c r="X4" s="2"/>
      <c r="Y4" s="2"/>
      <c r="Z4" s="2"/>
    </row>
    <row r="5" ht="19.5" customHeight="1">
      <c r="A5" s="3"/>
      <c r="B5" s="2"/>
      <c r="C5" s="2"/>
      <c r="D5" s="2"/>
      <c r="E5" s="2"/>
      <c r="F5" s="2"/>
      <c r="G5" s="2"/>
      <c r="H5" s="2"/>
      <c r="I5" s="2"/>
      <c r="J5" s="2"/>
      <c r="K5" s="2"/>
      <c r="L5" s="2"/>
      <c r="M5" s="2"/>
      <c r="N5" s="2"/>
      <c r="O5" s="7" t="s">
        <v>4</v>
      </c>
      <c r="P5" s="2"/>
      <c r="Q5" s="2"/>
      <c r="R5" s="2"/>
      <c r="S5" s="2"/>
      <c r="T5" s="2"/>
      <c r="U5" s="2"/>
      <c r="V5" s="2"/>
      <c r="W5" s="2"/>
      <c r="X5" s="2"/>
      <c r="Y5" s="2"/>
      <c r="Z5" s="2"/>
    </row>
    <row r="6" ht="14.25" customHeight="1">
      <c r="A6" s="3"/>
      <c r="B6" s="2"/>
      <c r="C6" s="2"/>
      <c r="D6" s="2"/>
      <c r="E6" s="2"/>
      <c r="F6" s="2"/>
      <c r="G6" s="2"/>
      <c r="H6" s="2"/>
      <c r="I6" s="2"/>
      <c r="J6" s="2"/>
      <c r="K6" s="2"/>
      <c r="L6" s="2"/>
      <c r="M6" s="2"/>
      <c r="N6" s="2"/>
      <c r="O6" s="7" t="s">
        <v>5</v>
      </c>
      <c r="P6" s="2"/>
      <c r="Q6" s="2"/>
      <c r="R6" s="2"/>
      <c r="S6" s="2"/>
      <c r="T6" s="2"/>
      <c r="U6" s="2"/>
      <c r="V6" s="2"/>
      <c r="W6" s="2"/>
      <c r="X6" s="2"/>
      <c r="Y6" s="2"/>
      <c r="Z6" s="2"/>
    </row>
    <row r="7" ht="14.25" customHeight="1">
      <c r="A7" s="3"/>
      <c r="B7" s="2"/>
      <c r="C7" s="2"/>
      <c r="D7" s="2"/>
      <c r="E7" s="2"/>
      <c r="F7" s="2"/>
      <c r="G7" s="2"/>
      <c r="H7" s="2"/>
      <c r="I7" s="2"/>
      <c r="J7" s="2"/>
      <c r="K7" s="2"/>
      <c r="L7" s="2"/>
      <c r="M7" s="2"/>
      <c r="N7" s="2"/>
      <c r="O7" s="7" t="s">
        <v>6</v>
      </c>
      <c r="P7" s="2"/>
      <c r="Q7" s="2"/>
      <c r="R7" s="2"/>
      <c r="S7" s="2"/>
      <c r="T7" s="2"/>
      <c r="U7" s="2"/>
      <c r="V7" s="2"/>
      <c r="W7" s="2"/>
      <c r="X7" s="2"/>
      <c r="Y7" s="2"/>
      <c r="Z7" s="2"/>
    </row>
    <row r="8" ht="14.25" customHeight="1">
      <c r="A8" s="3"/>
      <c r="B8" s="2"/>
      <c r="C8" s="2"/>
      <c r="D8" s="2"/>
      <c r="E8" s="2"/>
      <c r="F8" s="2"/>
      <c r="G8" s="2"/>
      <c r="H8" s="2"/>
      <c r="I8" s="2"/>
      <c r="J8" s="2"/>
      <c r="K8" s="2"/>
      <c r="L8" s="2"/>
      <c r="M8" s="2"/>
      <c r="N8" s="2"/>
      <c r="O8" s="7" t="s">
        <v>7</v>
      </c>
      <c r="P8" s="2"/>
      <c r="Q8" s="2"/>
      <c r="R8" s="2"/>
      <c r="S8" s="2"/>
      <c r="T8" s="2"/>
      <c r="U8" s="2"/>
      <c r="V8" s="2"/>
      <c r="W8" s="2"/>
      <c r="X8" s="2"/>
      <c r="Y8" s="2"/>
      <c r="Z8" s="2"/>
    </row>
    <row r="9" ht="14.25" customHeight="1">
      <c r="A9" s="3"/>
      <c r="B9" s="2"/>
      <c r="C9" s="2"/>
      <c r="D9" s="2"/>
      <c r="E9" s="2"/>
      <c r="F9" s="2"/>
      <c r="G9" s="2"/>
      <c r="H9" s="2"/>
      <c r="I9" s="2"/>
      <c r="J9" s="2"/>
      <c r="K9" s="2"/>
      <c r="L9" s="2"/>
      <c r="M9" s="2"/>
      <c r="N9" s="2"/>
      <c r="O9" s="7" t="s">
        <v>8</v>
      </c>
      <c r="P9" s="2"/>
      <c r="Q9" s="2"/>
      <c r="R9" s="2"/>
      <c r="S9" s="2"/>
      <c r="T9" s="2"/>
      <c r="U9" s="2"/>
      <c r="V9" s="2"/>
      <c r="W9" s="2"/>
      <c r="X9" s="2"/>
      <c r="Y9" s="2"/>
      <c r="Z9" s="2"/>
    </row>
    <row r="10" ht="14.25" customHeight="1">
      <c r="A10" s="3"/>
      <c r="B10" s="2"/>
      <c r="C10" s="2"/>
      <c r="D10" s="2"/>
      <c r="E10" s="2"/>
      <c r="F10" s="2"/>
      <c r="G10" s="2"/>
      <c r="H10" s="2"/>
      <c r="I10" s="2"/>
      <c r="J10" s="2"/>
      <c r="K10" s="2"/>
      <c r="L10" s="2"/>
      <c r="M10" s="2"/>
      <c r="N10" s="2"/>
      <c r="O10" s="7" t="s">
        <v>9</v>
      </c>
      <c r="P10" s="2"/>
      <c r="Q10" s="2"/>
      <c r="R10" s="2"/>
      <c r="S10" s="2"/>
      <c r="T10" s="2"/>
      <c r="U10" s="2"/>
      <c r="V10" s="2"/>
      <c r="W10" s="2"/>
      <c r="X10" s="2"/>
      <c r="Y10" s="2"/>
      <c r="Z10" s="2"/>
    </row>
    <row r="11" ht="14.25" customHeight="1">
      <c r="A11" s="3"/>
      <c r="B11" s="2"/>
      <c r="C11" s="2"/>
      <c r="D11" s="2"/>
      <c r="E11" s="2"/>
      <c r="F11" s="2"/>
      <c r="G11" s="2"/>
      <c r="H11" s="2"/>
      <c r="I11" s="2"/>
      <c r="J11" s="2"/>
      <c r="K11" s="2"/>
      <c r="L11" s="2"/>
      <c r="M11" s="2"/>
      <c r="N11" s="2"/>
      <c r="O11" s="7" t="s">
        <v>10</v>
      </c>
      <c r="P11" s="2"/>
      <c r="Q11" s="2"/>
      <c r="R11" s="2"/>
      <c r="S11" s="2"/>
      <c r="T11" s="2"/>
      <c r="U11" s="2"/>
      <c r="V11" s="2"/>
      <c r="W11" s="2"/>
      <c r="X11" s="2"/>
      <c r="Y11" s="2"/>
      <c r="Z11" s="2"/>
    </row>
    <row r="12">
      <c r="A12" s="2"/>
      <c r="B12" s="2"/>
      <c r="C12" s="2"/>
      <c r="D12" s="2"/>
      <c r="E12" s="2"/>
      <c r="F12" s="2"/>
      <c r="G12" s="2"/>
      <c r="H12" s="2"/>
      <c r="I12" s="2"/>
      <c r="J12" s="2"/>
      <c r="K12" s="2"/>
      <c r="L12" s="2"/>
      <c r="M12" s="2"/>
      <c r="N12" s="2"/>
      <c r="O12" s="7" t="s">
        <v>11</v>
      </c>
      <c r="P12" s="2"/>
      <c r="Q12" s="2"/>
      <c r="R12" s="2"/>
      <c r="S12" s="2"/>
      <c r="T12" s="2"/>
      <c r="U12" s="2"/>
      <c r="V12" s="2"/>
      <c r="W12" s="2"/>
      <c r="X12" s="2"/>
      <c r="Y12" s="2"/>
      <c r="Z12" s="2"/>
    </row>
    <row r="13">
      <c r="A13" s="2"/>
      <c r="B13" s="2"/>
      <c r="C13" s="2"/>
      <c r="D13" s="2"/>
      <c r="E13" s="2"/>
      <c r="F13" s="2"/>
      <c r="G13" s="2"/>
      <c r="H13" s="2"/>
      <c r="I13" s="2"/>
      <c r="J13" s="2"/>
      <c r="K13" s="2"/>
      <c r="L13" s="2"/>
      <c r="M13" s="2"/>
      <c r="N13" s="2"/>
      <c r="O13" s="8" t="s">
        <v>12</v>
      </c>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9"/>
      <c r="B34" s="10" t="s">
        <v>13</v>
      </c>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11"/>
      <c r="B35" s="10" t="s">
        <v>14</v>
      </c>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t="s">
        <v>15</v>
      </c>
      <c r="H42" s="2"/>
      <c r="I42" s="2"/>
      <c r="J42" s="2"/>
      <c r="K42" s="2"/>
      <c r="L42" s="2"/>
      <c r="M42" s="2"/>
      <c r="N42" s="2"/>
      <c r="O42" s="2"/>
      <c r="P42" s="2"/>
      <c r="Q42" s="2" t="s">
        <v>16</v>
      </c>
      <c r="R42" s="2"/>
      <c r="S42" s="2"/>
      <c r="T42" s="2"/>
      <c r="U42" s="2"/>
      <c r="V42" s="2"/>
      <c r="W42" s="2"/>
      <c r="X42" s="2"/>
      <c r="Y42" s="2"/>
      <c r="Z42" s="2"/>
    </row>
    <row r="43" ht="15.75" customHeight="1">
      <c r="A43" s="2"/>
      <c r="B43" s="2"/>
      <c r="C43" s="2"/>
      <c r="D43" s="2"/>
      <c r="E43" s="2"/>
      <c r="F43" s="2"/>
      <c r="G43" s="2"/>
      <c r="H43" s="2"/>
      <c r="I43" s="2"/>
      <c r="J43" s="2"/>
      <c r="K43" s="2"/>
      <c r="L43" s="2"/>
      <c r="M43" s="2" t="s">
        <v>17</v>
      </c>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4"/>
    <pageSetUpPr/>
  </sheetPr>
  <sheetViews>
    <sheetView workbookViewId="0"/>
  </sheetViews>
  <sheetFormatPr customHeight="1" defaultColWidth="14.43" defaultRowHeight="15.0"/>
  <cols>
    <col customWidth="1" min="1" max="1" width="35.43"/>
    <col customWidth="1" min="2" max="2" width="10.71"/>
    <col customWidth="1" min="3" max="3" width="11.0"/>
    <col customWidth="1" min="4" max="4" width="11.14"/>
    <col customWidth="1" min="5" max="5" width="11.71"/>
    <col customWidth="1" min="6" max="9" width="8.71"/>
    <col customWidth="1" min="10" max="10" width="21.0"/>
    <col customWidth="1" min="11" max="11" width="18.0"/>
    <col customWidth="1" min="12" max="12" width="19.43"/>
    <col customWidth="1" min="13" max="13" width="13.86"/>
    <col customWidth="1" min="14" max="14" width="12.57"/>
    <col customWidth="1" min="15" max="15" width="24.14"/>
    <col customWidth="1" min="16" max="16" width="13.0"/>
    <col customWidth="1" min="17" max="18" width="14.14"/>
    <col customWidth="1" min="19" max="26" width="8.71"/>
  </cols>
  <sheetData>
    <row r="1">
      <c r="A1" s="12" t="s">
        <v>18</v>
      </c>
    </row>
    <row r="2" ht="15.0" customHeight="1">
      <c r="A2" s="12"/>
    </row>
    <row r="3" ht="15.0" customHeight="1">
      <c r="A3" s="12"/>
    </row>
    <row r="4" ht="15.0" customHeight="1">
      <c r="A4" s="12"/>
    </row>
    <row r="5" ht="15.0" customHeight="1">
      <c r="A5" s="12"/>
    </row>
    <row r="6" ht="15.0" customHeight="1">
      <c r="A6" s="12"/>
    </row>
    <row r="7" ht="15.0" customHeight="1">
      <c r="A7" s="12"/>
    </row>
    <row r="8" ht="15.0" customHeight="1">
      <c r="A8" s="12"/>
    </row>
    <row r="9" ht="15.0" customHeight="1">
      <c r="A9" s="12"/>
    </row>
    <row r="10" ht="15.0" customHeight="1">
      <c r="A10" s="12"/>
    </row>
    <row r="11" ht="15.0" customHeight="1">
      <c r="A11" s="12"/>
    </row>
    <row r="12" ht="15.0" customHeight="1">
      <c r="A12" s="12"/>
    </row>
    <row r="13" ht="15.0" customHeight="1">
      <c r="A13" s="12"/>
    </row>
    <row r="14" ht="15.0" customHeight="1">
      <c r="A14" s="12"/>
    </row>
    <row r="15" ht="15.0" customHeight="1">
      <c r="A15" s="12"/>
      <c r="P15" s="13"/>
      <c r="R15" s="14"/>
    </row>
    <row r="16" ht="15.0" customHeight="1">
      <c r="A16" s="12"/>
      <c r="P16" s="13"/>
      <c r="R16" s="14"/>
    </row>
    <row r="17" ht="15.0" customHeight="1">
      <c r="A17" s="12"/>
      <c r="P17" s="13"/>
      <c r="R17" s="14"/>
    </row>
    <row r="18" ht="15.0" customHeight="1">
      <c r="A18" s="12"/>
      <c r="P18" s="13"/>
      <c r="R18" s="14"/>
    </row>
    <row r="19" ht="15.0" customHeight="1">
      <c r="A19" s="12"/>
      <c r="P19" s="13"/>
      <c r="R19" s="14"/>
    </row>
    <row r="21" ht="15.75" customHeight="1"/>
    <row r="22" ht="15.75" customHeight="1">
      <c r="A22" s="15" t="s">
        <v>19</v>
      </c>
      <c r="B22" s="16">
        <v>6.0</v>
      </c>
    </row>
    <row r="23" ht="15.75" customHeight="1">
      <c r="A23" s="17"/>
    </row>
    <row r="24" ht="15.75" customHeight="1"/>
    <row r="25" ht="15.75" customHeight="1">
      <c r="A25" s="18" t="s">
        <v>20</v>
      </c>
      <c r="B25" s="19"/>
      <c r="C25" s="19"/>
      <c r="D25" s="19"/>
      <c r="E25" s="20"/>
      <c r="J25" s="21" t="s">
        <v>21</v>
      </c>
      <c r="K25" s="21" t="s">
        <v>22</v>
      </c>
      <c r="L25" s="21" t="s">
        <v>23</v>
      </c>
      <c r="M25" s="21" t="s">
        <v>24</v>
      </c>
      <c r="N25" s="21" t="s">
        <v>25</v>
      </c>
      <c r="O25" s="21" t="s">
        <v>26</v>
      </c>
      <c r="P25" s="21" t="s">
        <v>27</v>
      </c>
      <c r="Q25" s="21" t="s">
        <v>28</v>
      </c>
      <c r="R25" s="21" t="s">
        <v>29</v>
      </c>
    </row>
    <row r="26" ht="15.75" customHeight="1">
      <c r="A26" s="22"/>
      <c r="B26" s="23" t="s">
        <v>30</v>
      </c>
      <c r="C26" s="23" t="s">
        <v>31</v>
      </c>
      <c r="D26" s="23" t="s">
        <v>32</v>
      </c>
      <c r="E26" s="24" t="s">
        <v>33</v>
      </c>
      <c r="F26" s="25"/>
    </row>
    <row r="27" ht="15.75" customHeight="1">
      <c r="A27" s="26" t="s">
        <v>34</v>
      </c>
      <c r="B27" s="27">
        <f>'Base case- rivet bad gjenbruk'!$R$34</f>
        <v>1248.467332</v>
      </c>
      <c r="C27" s="27">
        <f>'Transport manipulated'!J17</f>
        <v>276.48</v>
      </c>
      <c r="D27" s="27">
        <f>'Base case- rivet bad gjenbruk'!$S$34</f>
        <v>295.7771859</v>
      </c>
      <c r="E27" s="28">
        <f t="shared" ref="E27:E29" si="1">SUM(B27:D27)</f>
        <v>1820.724518</v>
      </c>
      <c r="F27" s="29"/>
    </row>
    <row r="28" ht="15.75" customHeight="1">
      <c r="A28" s="26" t="s">
        <v>35</v>
      </c>
      <c r="B28" s="27">
        <f>'M-TEK manipulated'!K45</f>
        <v>2.772268831</v>
      </c>
      <c r="C28" s="27">
        <f>'Transport manipulated'!J15</f>
        <v>9.216</v>
      </c>
      <c r="D28" s="27">
        <f>'M-TEK manipulated'!L45</f>
        <v>0.311664936</v>
      </c>
      <c r="E28" s="28">
        <f t="shared" si="1"/>
        <v>12.29993377</v>
      </c>
      <c r="F28" s="30" t="s">
        <v>36</v>
      </c>
      <c r="J28" s="21">
        <v>25.0</v>
      </c>
      <c r="K28" s="21">
        <v>1.0</v>
      </c>
      <c r="L28" s="21">
        <f>J28-K28</f>
        <v>24</v>
      </c>
      <c r="M28" s="31">
        <f t="array" ref="M28">XLOOKUP($B$22, 'Ark2'!A:A, 'Ark2'!C:C, "Ikke funnet")</f>
        <v>353000</v>
      </c>
      <c r="N28" s="21">
        <v>9000.0</v>
      </c>
      <c r="O28" s="31">
        <f>M28-N28</f>
        <v>344000</v>
      </c>
      <c r="P28" s="13">
        <f>E27</f>
        <v>1820.724518</v>
      </c>
      <c r="Q28" s="21">
        <v>12.3</v>
      </c>
      <c r="R28" s="14">
        <f>P28-Q28</f>
        <v>1808.424518</v>
      </c>
    </row>
    <row r="29" ht="15.75" customHeight="1">
      <c r="A29" s="26" t="s">
        <v>37</v>
      </c>
      <c r="B29" s="27">
        <f>'M-TEK manipulated'!$R$64</f>
        <v>191.8563424</v>
      </c>
      <c r="C29" s="27">
        <f>'Transport manipulated'!J16</f>
        <v>36.864</v>
      </c>
      <c r="D29" s="27">
        <f>'M-TEK manipulated'!$S$64</f>
        <v>21.43225787</v>
      </c>
      <c r="E29" s="28">
        <f t="shared" si="1"/>
        <v>250.1526003</v>
      </c>
      <c r="F29" s="30" t="s">
        <v>38</v>
      </c>
    </row>
    <row r="30" ht="15.75" customHeight="1">
      <c r="F30" s="29"/>
    </row>
    <row r="31" ht="15.75" customHeight="1">
      <c r="F31" s="29"/>
    </row>
    <row r="32" ht="15.75" customHeight="1">
      <c r="F32" s="29"/>
    </row>
    <row r="33" ht="15.75" customHeight="1">
      <c r="F33" s="29"/>
    </row>
    <row r="34" ht="15.75" customHeight="1">
      <c r="F34" s="29"/>
    </row>
    <row r="35" ht="15.75" customHeight="1">
      <c r="F35" s="29"/>
    </row>
    <row r="36" ht="15.75" customHeight="1">
      <c r="A36" s="32" t="s">
        <v>39</v>
      </c>
      <c r="B36" s="19"/>
      <c r="C36" s="19"/>
      <c r="D36" s="19"/>
      <c r="E36" s="20"/>
      <c r="F36" s="29"/>
    </row>
    <row r="37" ht="27.0" customHeight="1">
      <c r="A37" s="33"/>
      <c r="B37" s="34" t="s">
        <v>30</v>
      </c>
      <c r="C37" s="34" t="s">
        <v>31</v>
      </c>
      <c r="D37" s="34" t="s">
        <v>32</v>
      </c>
      <c r="E37" s="34" t="s">
        <v>33</v>
      </c>
      <c r="F37" s="29"/>
      <c r="I37" s="35"/>
    </row>
    <row r="38" ht="15.75" customHeight="1">
      <c r="A38" s="26" t="s">
        <v>34</v>
      </c>
      <c r="B38" s="27">
        <f>'Base case- rivet bad gjenbruk'!$R$34</f>
        <v>1248.467332</v>
      </c>
      <c r="C38" s="27">
        <f>'Transport manipulated'!J17</f>
        <v>276.48</v>
      </c>
      <c r="D38" s="27">
        <f>'Base case- rivet bad gjenbruk'!$S$34</f>
        <v>295.7771859</v>
      </c>
      <c r="E38" s="28">
        <f t="shared" ref="E38:E39" si="2">SUM(B38:D38)</f>
        <v>1820.724518</v>
      </c>
      <c r="F38" s="29"/>
    </row>
    <row r="39" ht="15.75" customHeight="1">
      <c r="A39" s="26" t="s">
        <v>40</v>
      </c>
      <c r="B39" s="27">
        <f>'M-TEK manipulated'!K45+'M-TEK manipulated'!$R$64</f>
        <v>194.6286112</v>
      </c>
      <c r="C39" s="27">
        <f>'Transport manipulated'!J15+'Transport manipulated'!J16</f>
        <v>46.08</v>
      </c>
      <c r="D39" s="27">
        <f>'M-TEK manipulated'!L45+'M-TEK manipulated'!$S$64</f>
        <v>21.74392281</v>
      </c>
      <c r="E39" s="28">
        <f t="shared" si="2"/>
        <v>262.452534</v>
      </c>
      <c r="F39" s="29"/>
    </row>
    <row r="40" ht="15.75" customHeight="1">
      <c r="A40" s="36"/>
      <c r="F40" s="29"/>
    </row>
    <row r="41" ht="15.75" customHeight="1">
      <c r="A41" s="36"/>
      <c r="F41" s="29"/>
    </row>
    <row r="42" ht="15.75" customHeight="1">
      <c r="A42" s="36"/>
      <c r="F42" s="29"/>
    </row>
    <row r="43" ht="15.75" customHeight="1">
      <c r="A43" s="36"/>
      <c r="F43" s="29"/>
    </row>
    <row r="44" ht="15.75" customHeight="1">
      <c r="A44" s="36"/>
      <c r="F44" s="29"/>
    </row>
    <row r="45" ht="15.75" customHeight="1">
      <c r="F45" s="29"/>
    </row>
    <row r="46" ht="15.75" customHeight="1">
      <c r="A46" s="37" t="s">
        <v>41</v>
      </c>
      <c r="B46" s="19"/>
      <c r="C46" s="19"/>
      <c r="D46" s="19"/>
      <c r="E46" s="20"/>
      <c r="F46" s="29"/>
    </row>
    <row r="47" ht="27.75" customHeight="1">
      <c r="A47" s="38"/>
      <c r="B47" s="39" t="s">
        <v>30</v>
      </c>
      <c r="C47" s="39" t="s">
        <v>31</v>
      </c>
      <c r="D47" s="39" t="s">
        <v>32</v>
      </c>
      <c r="E47" s="39" t="s">
        <v>33</v>
      </c>
      <c r="F47" s="29"/>
    </row>
    <row r="48" ht="15.75" customHeight="1">
      <c r="A48" s="26" t="s">
        <v>42</v>
      </c>
      <c r="B48" s="27">
        <f>'Base case- rivet bad'!$R$34</f>
        <v>1722.876532</v>
      </c>
      <c r="C48" s="27">
        <f>'Transport manipulated'!J18</f>
        <v>276.48</v>
      </c>
      <c r="D48" s="27">
        <f>'Base case- rivet bad'!$S$34</f>
        <v>300.6576859</v>
      </c>
      <c r="E48" s="28">
        <f t="shared" ref="E48:E49" si="3">SUM(B48:D48)</f>
        <v>2300.014218</v>
      </c>
      <c r="F48" s="29"/>
    </row>
    <row r="49" ht="15.75" customHeight="1">
      <c r="A49" s="26" t="s">
        <v>40</v>
      </c>
      <c r="B49" s="27">
        <f>'M-TEK manipulated'!K45+'M-TEK manipulated'!$R$64</f>
        <v>194.6286112</v>
      </c>
      <c r="C49" s="27">
        <f>'Transport manipulated'!J15+'Transport manipulated'!J16</f>
        <v>46.08</v>
      </c>
      <c r="D49" s="27">
        <f>'M-TEK manipulated'!L45+'M-TEK manipulated'!$S$64</f>
        <v>21.74392281</v>
      </c>
      <c r="E49" s="28">
        <f t="shared" si="3"/>
        <v>262.452534</v>
      </c>
      <c r="F49" s="29"/>
    </row>
    <row r="50" ht="15.75" customHeight="1"/>
    <row r="51" ht="15.75" customHeight="1"/>
    <row r="52" ht="15.75" customHeight="1"/>
    <row r="53" ht="15.75" customHeight="1">
      <c r="A53" s="36"/>
    </row>
    <row r="54" ht="15.75" customHeight="1">
      <c r="A54" s="36"/>
    </row>
    <row r="55" ht="15.75" customHeight="1">
      <c r="A55" s="36"/>
    </row>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25:E25"/>
    <mergeCell ref="A36:E36"/>
    <mergeCell ref="A46:E46"/>
  </mergeCell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40"/>
      <c r="B1" s="40"/>
      <c r="C1" s="41"/>
    </row>
    <row r="2">
      <c r="A2" s="42">
        <v>2.0</v>
      </c>
      <c r="B2" s="42">
        <v>25.0</v>
      </c>
      <c r="C2" s="43">
        <v>299000.0</v>
      </c>
    </row>
    <row r="3">
      <c r="A3" s="42">
        <v>3.0</v>
      </c>
      <c r="B3" s="42">
        <v>25.0</v>
      </c>
      <c r="C3" s="43">
        <v>312000.0</v>
      </c>
    </row>
    <row r="4">
      <c r="A4" s="42">
        <v>4.0</v>
      </c>
      <c r="B4" s="42">
        <v>25.0</v>
      </c>
      <c r="C4" s="43">
        <v>322000.0</v>
      </c>
    </row>
    <row r="5">
      <c r="A5" s="42">
        <v>5.0</v>
      </c>
      <c r="B5" s="42">
        <v>25.0</v>
      </c>
      <c r="C5" s="43">
        <v>338000.0</v>
      </c>
    </row>
    <row r="6">
      <c r="A6" s="42">
        <v>6.0</v>
      </c>
      <c r="B6" s="42">
        <v>25.0</v>
      </c>
      <c r="C6" s="43">
        <v>353000.0</v>
      </c>
    </row>
    <row r="7">
      <c r="A7" s="42">
        <v>7.0</v>
      </c>
      <c r="B7" s="42">
        <v>25.0</v>
      </c>
      <c r="C7" s="43">
        <v>368000.0</v>
      </c>
    </row>
    <row r="8">
      <c r="A8" s="42">
        <v>8.0</v>
      </c>
      <c r="B8" s="42">
        <v>25.0</v>
      </c>
      <c r="C8" s="43">
        <v>378000.0</v>
      </c>
    </row>
    <row r="9">
      <c r="A9" s="42">
        <v>9.0</v>
      </c>
      <c r="B9" s="42">
        <v>25.0</v>
      </c>
      <c r="C9" s="43">
        <v>398000.0</v>
      </c>
    </row>
    <row r="10">
      <c r="A10" s="42">
        <v>10.0</v>
      </c>
      <c r="B10" s="42">
        <v>25.0</v>
      </c>
      <c r="C10" s="43">
        <v>413000.0</v>
      </c>
    </row>
    <row r="11">
      <c r="A11" s="42">
        <v>11.0</v>
      </c>
      <c r="B11" s="42">
        <v>30.0</v>
      </c>
      <c r="C11" s="43">
        <v>428000.0</v>
      </c>
    </row>
    <row r="12">
      <c r="A12" s="42">
        <v>12.0</v>
      </c>
      <c r="B12" s="42">
        <v>30.0</v>
      </c>
      <c r="C12" s="43">
        <v>443000.0</v>
      </c>
    </row>
    <row r="13">
      <c r="A13" s="42">
        <v>13.0</v>
      </c>
      <c r="B13" s="42">
        <v>30.0</v>
      </c>
      <c r="C13" s="43">
        <v>443000.0</v>
      </c>
    </row>
    <row r="14">
      <c r="A14" s="42">
        <v>14.0</v>
      </c>
      <c r="B14" s="42">
        <v>30.0</v>
      </c>
      <c r="C14" s="43">
        <v>453000.0</v>
      </c>
    </row>
    <row r="15">
      <c r="A15" s="42">
        <v>15.0</v>
      </c>
      <c r="B15" s="42">
        <v>30.0</v>
      </c>
      <c r="C15" s="42">
        <v>453000.0</v>
      </c>
    </row>
    <row r="16">
      <c r="A16" s="42">
        <v>16.0</v>
      </c>
      <c r="B16" s="42">
        <v>30.0</v>
      </c>
      <c r="C16" s="43">
        <v>463000.0</v>
      </c>
    </row>
    <row r="17">
      <c r="A17" s="42">
        <v>17.0</v>
      </c>
      <c r="B17" s="42">
        <v>30.0</v>
      </c>
      <c r="C17" s="43">
        <v>463000.0</v>
      </c>
    </row>
    <row r="18">
      <c r="A18" s="42">
        <v>18.0</v>
      </c>
      <c r="B18" s="42">
        <v>30.0</v>
      </c>
      <c r="C18" s="43">
        <v>473000.0</v>
      </c>
    </row>
    <row r="19">
      <c r="A19" s="42">
        <v>19.0</v>
      </c>
      <c r="B19" s="42">
        <v>30.0</v>
      </c>
      <c r="C19" s="43">
        <v>483000.0</v>
      </c>
    </row>
    <row r="20">
      <c r="A20" s="42">
        <v>20.0</v>
      </c>
      <c r="B20" s="42">
        <v>30.0</v>
      </c>
      <c r="C20" s="43">
        <v>493000.0</v>
      </c>
    </row>
    <row r="21">
      <c r="A21" s="42">
        <v>21.0</v>
      </c>
      <c r="B21" s="42">
        <v>30.0</v>
      </c>
      <c r="C21" s="43">
        <v>503000.0</v>
      </c>
    </row>
    <row r="22">
      <c r="A22" s="42">
        <v>22.0</v>
      </c>
      <c r="B22" s="42">
        <v>30.0</v>
      </c>
      <c r="C22" s="43">
        <v>513000.0</v>
      </c>
    </row>
    <row r="23">
      <c r="A23" s="42">
        <v>23.0</v>
      </c>
      <c r="B23" s="42">
        <v>30.0</v>
      </c>
      <c r="C23" s="43">
        <v>523000.0</v>
      </c>
    </row>
    <row r="24">
      <c r="A24" s="42">
        <v>24.0</v>
      </c>
      <c r="B24" s="42">
        <v>30.0</v>
      </c>
      <c r="C24" s="43">
        <v>533000.0</v>
      </c>
    </row>
    <row r="25">
      <c r="A25" s="42">
        <v>25.0</v>
      </c>
      <c r="B25" s="42">
        <v>30.0</v>
      </c>
      <c r="C25" s="43">
        <v>543000.0</v>
      </c>
    </row>
    <row r="26">
      <c r="A26" s="40"/>
      <c r="B26" s="40"/>
      <c r="C26" s="43">
        <v>553000.0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CCCFC"/>
    <pageSetUpPr/>
  </sheetPr>
  <sheetViews>
    <sheetView workbookViewId="0"/>
  </sheetViews>
  <sheetFormatPr customHeight="1" defaultColWidth="14.43" defaultRowHeight="15.0"/>
  <cols>
    <col customWidth="1" min="1" max="1" width="39.29"/>
    <col customWidth="1" min="2" max="2" width="33.71"/>
    <col customWidth="1" min="3" max="3" width="14.43"/>
    <col customWidth="1" min="4" max="4" width="8.71"/>
    <col customWidth="1" min="5" max="5" width="14.29"/>
    <col customWidth="1" hidden="1" min="6" max="7" width="8.29"/>
    <col customWidth="1" min="8" max="8" width="14.86"/>
    <col customWidth="1" min="9" max="9" width="13.86"/>
    <col customWidth="1" min="10" max="10" width="15.14"/>
    <col customWidth="1" min="11" max="12" width="14.14"/>
    <col customWidth="1" min="13" max="13" width="12.57"/>
    <col customWidth="1" min="14" max="14" width="14.43"/>
    <col customWidth="1" min="15" max="15" width="14.29"/>
    <col customWidth="1" min="16" max="16" width="16.71"/>
    <col customWidth="1" min="17" max="17" width="15.0"/>
    <col customWidth="1" min="18" max="18" width="15.14"/>
    <col customWidth="1" min="19" max="19" width="16.14"/>
    <col customWidth="1" min="20" max="20" width="22.71"/>
    <col customWidth="1" min="21" max="26" width="8.71"/>
  </cols>
  <sheetData>
    <row r="1">
      <c r="A1" s="44" t="s">
        <v>43</v>
      </c>
      <c r="B1" s="20"/>
    </row>
    <row r="3">
      <c r="A3" s="15" t="s">
        <v>44</v>
      </c>
      <c r="B3" s="45">
        <f>'Resultat - M-tek'!$B$22</f>
        <v>6</v>
      </c>
    </row>
    <row r="4">
      <c r="H4" s="36"/>
      <c r="I4" s="36"/>
      <c r="J4" s="36"/>
      <c r="K4" s="46"/>
      <c r="L4" s="46"/>
      <c r="M4" s="46"/>
      <c r="N4" s="46"/>
    </row>
    <row r="5" ht="27.0" customHeight="1">
      <c r="A5" s="47" t="s">
        <v>45</v>
      </c>
      <c r="B5" s="19"/>
      <c r="C5" s="19"/>
      <c r="D5" s="19"/>
      <c r="E5" s="19"/>
      <c r="F5" s="19"/>
      <c r="G5" s="20"/>
      <c r="H5" s="48" t="s">
        <v>9</v>
      </c>
      <c r="I5" s="19"/>
      <c r="J5" s="19"/>
      <c r="K5" s="20"/>
      <c r="L5" s="49" t="s">
        <v>46</v>
      </c>
      <c r="M5" s="19"/>
      <c r="N5" s="19"/>
      <c r="O5" s="20"/>
      <c r="P5" s="50" t="s">
        <v>47</v>
      </c>
      <c r="Q5" s="19"/>
      <c r="R5" s="19"/>
      <c r="S5" s="20"/>
    </row>
    <row r="6" ht="30.75" customHeight="1">
      <c r="A6" s="51" t="s">
        <v>48</v>
      </c>
      <c r="B6" s="51" t="s">
        <v>49</v>
      </c>
      <c r="C6" s="52" t="s">
        <v>50</v>
      </c>
      <c r="D6" s="53" t="s">
        <v>51</v>
      </c>
      <c r="E6" s="51" t="s">
        <v>52</v>
      </c>
      <c r="F6" s="54" t="s">
        <v>53</v>
      </c>
      <c r="G6" s="54" t="s">
        <v>54</v>
      </c>
      <c r="H6" s="52" t="s">
        <v>55</v>
      </c>
      <c r="I6" s="52" t="s">
        <v>56</v>
      </c>
      <c r="J6" s="52" t="s">
        <v>57</v>
      </c>
      <c r="K6" s="52" t="s">
        <v>58</v>
      </c>
      <c r="L6" s="51" t="s">
        <v>59</v>
      </c>
      <c r="M6" s="51" t="s">
        <v>60</v>
      </c>
      <c r="N6" s="51" t="s">
        <v>61</v>
      </c>
      <c r="O6" s="51" t="s">
        <v>62</v>
      </c>
      <c r="P6" s="55" t="s">
        <v>63</v>
      </c>
      <c r="Q6" s="55" t="s">
        <v>64</v>
      </c>
      <c r="R6" s="55" t="s">
        <v>65</v>
      </c>
      <c r="S6" s="55" t="s">
        <v>66</v>
      </c>
      <c r="T6" s="56" t="s">
        <v>67</v>
      </c>
      <c r="U6" s="57" t="s">
        <v>68</v>
      </c>
    </row>
    <row r="7" ht="15.75" customHeight="1">
      <c r="A7" s="58" t="s">
        <v>69</v>
      </c>
      <c r="B7" s="59" t="s">
        <v>70</v>
      </c>
      <c r="C7" s="59">
        <v>10.0</v>
      </c>
      <c r="D7" s="59">
        <f>IF('Base case- rivet bad gjenbruk'!$E7="kg",'Base case- rivet bad gjenbruk'!$C7*$B$3,'Base case- rivet bad gjenbruk'!$C7)</f>
        <v>60</v>
      </c>
      <c r="E7" s="59" t="s">
        <v>71</v>
      </c>
      <c r="F7" s="59">
        <f t="array" ref="F7">IF('Base case- rivet bad gjenbruk'!$E7="kg",'Base case- rivet bad gjenbruk'!$C7,('Base case- rivet bad gjenbruk'!$C7*XLOOKUP('Base case- rivet bad gjenbruk'!$A7,'EPD data'!$A$4:$A$31,'EPD data'!$H$4:$H$31)))</f>
        <v>10</v>
      </c>
      <c r="G7" s="59">
        <f t="array" ref="G7">IF('Base case- rivet bad gjenbruk'!$E7="kg",'Base case- rivet bad gjenbruk'!$D7,('Base case- rivet bad gjenbruk'!$D7*XLOOKUP('Base case- rivet bad gjenbruk'!$A7,'EPD data'!$A$4:$A$31,'EPD data'!$H$4:$H$31)))</f>
        <v>60</v>
      </c>
      <c r="H7" s="60">
        <f t="array" ref="H7">IF('Base case- rivet bad gjenbruk'!$E7="kg",XLOOKUP(A7,'EPD data'!$A$4:$A$31,'EPD data'!$O$4:$O$31),XLOOKUP(A7,'EPD data'!$A$4:$A$31,'EPD data'!$J$4:$J$31))</f>
        <v>0.2944062807</v>
      </c>
      <c r="I7" s="60">
        <f t="array" ref="I7">IF('Base case- rivet bad gjenbruk'!$E7="kg",XLOOKUP(A7,'EPD data'!$A$4:$A$31,'EPD data'!$Q$4:$Q$31),XLOOKUP('Base case- rivet bad gjenbruk'!$A7,'EPD data'!$A$4:$A$31,'EPD data'!$L$4:$L$31))</f>
        <v>0.3191598436</v>
      </c>
      <c r="J7" s="60">
        <f t="array" ref="J7">IF('Base case- rivet bad gjenbruk'!$E7="kg",XLOOKUP('Base case- rivet bad gjenbruk'!$A7,'EPD data'!$A$4:$A$31,'EPD data'!$P$4:$P$31),XLOOKUP('Base case- rivet bad gjenbruk'!$A7,'EPD data'!$A$4:$A$31,'EPD data'!$K$4:$K$31))</f>
        <v>0.0247535629</v>
      </c>
      <c r="K7" s="60">
        <f t="array" ref="K7">IF('Base case- rivet bad gjenbruk'!$E7="kg",XLOOKUP(A7,'EPD data'!$A$4:$A$31,'EPD data'!$R$4:$R$31),XLOOKUP('Base case- rivet bad gjenbruk'!$A7,'EPD data'!$A$4:$A$31,'EPD data'!$M$4:$M$31))</f>
        <v>0.1808490619</v>
      </c>
      <c r="L7" s="60">
        <f>'Base case- rivet bad gjenbruk'!$H7*'Base case- rivet bad gjenbruk'!$C7</f>
        <v>2.944062807</v>
      </c>
      <c r="M7" s="60">
        <f>'Base case- rivet bad gjenbruk'!$J7*'Base case- rivet bad gjenbruk'!$C7</f>
        <v>0.247535629</v>
      </c>
      <c r="N7" s="60">
        <f>SUM('Base case- rivet bad gjenbruk'!$L7:$M7)</f>
        <v>3.191598436</v>
      </c>
      <c r="O7" s="60">
        <f t="shared" ref="O7:O19" si="1">IFERROR(K7*C7,0)</f>
        <v>1.808490619</v>
      </c>
      <c r="P7" s="61">
        <f t="shared" ref="P7:P19" si="2">IFERROR(H7*$D7,0)</f>
        <v>17.66437684</v>
      </c>
      <c r="Q7" s="61">
        <f>IFERROR('Base case- rivet bad gjenbruk'!$D7*'Base case- rivet bad gjenbruk'!$J7,0)</f>
        <v>1.485213774</v>
      </c>
      <c r="R7" s="62">
        <f>'Base case- rivet bad gjenbruk'!$D7*'Base case- rivet bad gjenbruk'!$I7</f>
        <v>19.14959061</v>
      </c>
      <c r="S7" s="62">
        <f>'Base case- rivet bad gjenbruk'!$K7*'Base case- rivet bad gjenbruk'!$D7</f>
        <v>10.85094371</v>
      </c>
      <c r="T7" s="63" t="s">
        <v>72</v>
      </c>
      <c r="U7" s="64" t="s">
        <v>73</v>
      </c>
    </row>
    <row r="8">
      <c r="A8" s="65" t="s">
        <v>74</v>
      </c>
      <c r="B8" s="64" t="s">
        <v>70</v>
      </c>
      <c r="C8" s="64">
        <v>13.2</v>
      </c>
      <c r="D8" s="59">
        <f>IF('Base case- rivet bad gjenbruk'!$E8="kg",'Base case- rivet bad gjenbruk'!$C8*$B$3,'Base case- rivet bad gjenbruk'!$C8)</f>
        <v>79.2</v>
      </c>
      <c r="E8" s="64" t="s">
        <v>71</v>
      </c>
      <c r="F8" s="64">
        <f t="array" ref="F8">IF('Base case- rivet bad gjenbruk'!$E8="kg",'Base case- rivet bad gjenbruk'!$C8,('Base case- rivet bad gjenbruk'!$C8*XLOOKUP('Base case- rivet bad gjenbruk'!$A8,'EPD data'!$A$4:$A$31,'EPD data'!$H$4:$H$31)))</f>
        <v>13.2</v>
      </c>
      <c r="G8" s="64">
        <f t="array" ref="G8">IF('Base case- rivet bad gjenbruk'!$E8="kg",'Base case- rivet bad gjenbruk'!$D8,('Base case- rivet bad gjenbruk'!$D8*XLOOKUP('Base case- rivet bad gjenbruk'!$A8,'EPD data'!$A$4:$A$31,'EPD data'!$H$4:$H$31)))</f>
        <v>79.2</v>
      </c>
      <c r="H8" s="66">
        <f t="array" ref="H8">IF('Base case- rivet bad gjenbruk'!$E8="kg",XLOOKUP(A8,'EPD data'!$A$4:$A$31,'EPD data'!$O$4:$O$31),XLOOKUP(A8,'EPD data'!$A$4:$A$31,'EPD data'!$J$4:$J$31))</f>
        <v>0.1000436781</v>
      </c>
      <c r="I8" s="66">
        <f t="array" ref="I8">IF('Base case- rivet bad gjenbruk'!$E8="kg",XLOOKUP(A8,'EPD data'!$A$4:$A$31,'EPD data'!$Q$4:$Q$31),XLOOKUP('Base case- rivet bad gjenbruk'!$A8,'EPD data'!$A$4:$A$31,'EPD data'!$L$4:$L$31))</f>
        <v>0.109236881</v>
      </c>
      <c r="J8" s="60">
        <f t="array" ref="J8">IF('Base case- rivet bad gjenbruk'!$E8="kg",XLOOKUP('Base case- rivet bad gjenbruk'!$A8,'EPD data'!$A$4:$A$31,'EPD data'!$P$4:$P$31),XLOOKUP('Base case- rivet bad gjenbruk'!$A8,'EPD data'!$A$4:$A$31,'EPD data'!$K$4:$K$31))</f>
        <v>0.009193202854</v>
      </c>
      <c r="K8" s="60">
        <f t="array" ref="K8">IF('Base case- rivet bad gjenbruk'!$E8="kg",XLOOKUP(A8,'EPD data'!$A$4:$A$31,'EPD data'!$R$4:$R$31),XLOOKUP('Base case- rivet bad gjenbruk'!$A8,'EPD data'!$A$4:$A$31,'EPD data'!$M$4:$M$31))</f>
        <v>0.02763953077</v>
      </c>
      <c r="L8" s="60">
        <f>'Base case- rivet bad gjenbruk'!$H8*'Base case- rivet bad gjenbruk'!$C8</f>
        <v>1.320576551</v>
      </c>
      <c r="M8" s="60">
        <f>'Base case- rivet bad gjenbruk'!$J8*'Base case- rivet bad gjenbruk'!$C8</f>
        <v>0.1213502777</v>
      </c>
      <c r="N8" s="66">
        <f>SUM('Base case- rivet bad gjenbruk'!$L8:$M8)</f>
        <v>1.441926829</v>
      </c>
      <c r="O8" s="66">
        <f t="shared" si="1"/>
        <v>0.3648418062</v>
      </c>
      <c r="P8" s="67">
        <f t="shared" si="2"/>
        <v>7.923459307</v>
      </c>
      <c r="Q8" s="67">
        <f>IFERROR('Base case- rivet bad gjenbruk'!$D8*'Base case- rivet bad gjenbruk'!$J8,0)</f>
        <v>0.728101666</v>
      </c>
      <c r="R8" s="68">
        <f>'Base case- rivet bad gjenbruk'!$D8*'Base case- rivet bad gjenbruk'!$I8</f>
        <v>8.651560973</v>
      </c>
      <c r="S8" s="68">
        <f>'Base case- rivet bad gjenbruk'!$K8*'Base case- rivet bad gjenbruk'!$D8</f>
        <v>2.189050837</v>
      </c>
      <c r="T8" s="63" t="s">
        <v>75</v>
      </c>
      <c r="U8" s="64" t="s">
        <v>73</v>
      </c>
    </row>
    <row r="9">
      <c r="A9" s="65" t="s">
        <v>76</v>
      </c>
      <c r="B9" s="64" t="s">
        <v>70</v>
      </c>
      <c r="C9" s="64">
        <v>36.0</v>
      </c>
      <c r="D9" s="59">
        <f>IF('Base case- rivet bad gjenbruk'!$E9="kg",'Base case- rivet bad gjenbruk'!$C9*$B$3,'Base case- rivet bad gjenbruk'!$C9)</f>
        <v>216</v>
      </c>
      <c r="E9" s="64" t="s">
        <v>71</v>
      </c>
      <c r="F9" s="64">
        <f t="array" ref="F9">IF('Base case- rivet bad gjenbruk'!$E9="kg",'Base case- rivet bad gjenbruk'!$C9,('Base case- rivet bad gjenbruk'!$C9*XLOOKUP('Base case- rivet bad gjenbruk'!$A9,'EPD data'!$A$4:$A$31,'EPD data'!$H$4:$H$31)))</f>
        <v>36</v>
      </c>
      <c r="G9" s="64">
        <f t="array" ref="G9">IF('Base case- rivet bad gjenbruk'!$E9="kg",'Base case- rivet bad gjenbruk'!$D9,('Base case- rivet bad gjenbruk'!$D9*XLOOKUP('Base case- rivet bad gjenbruk'!$A9,'EPD data'!$A$4:$A$31,'EPD data'!$H$4:$H$31)))</f>
        <v>216</v>
      </c>
      <c r="H9" s="66">
        <f t="array" ref="H9">IF('Base case- rivet bad gjenbruk'!$E9="kg",XLOOKUP(A9,'EPD data'!$A$4:$A$31,'EPD data'!$O$4:$O$31),XLOOKUP(A9,'EPD data'!$A$4:$A$31,'EPD data'!$J$4:$J$31))</f>
        <v>0.1360544218</v>
      </c>
      <c r="I9" s="66">
        <f t="array" ref="I9">IF('Base case- rivet bad gjenbruk'!$E9="kg",XLOOKUP(A9,'EPD data'!$A$4:$A$31,'EPD data'!$Q$4:$Q$31),XLOOKUP('Base case- rivet bad gjenbruk'!$A9,'EPD data'!$A$4:$A$31,'EPD data'!$L$4:$L$31))</f>
        <v>0.1455102041</v>
      </c>
      <c r="J9" s="60">
        <f t="array" ref="J9">IF('Base case- rivet bad gjenbruk'!$E9="kg",XLOOKUP('Base case- rivet bad gjenbruk'!$A9,'EPD data'!$A$4:$A$31,'EPD data'!$P$4:$P$31),XLOOKUP('Base case- rivet bad gjenbruk'!$A9,'EPD data'!$A$4:$A$31,'EPD data'!$K$4:$K$31))</f>
        <v>0.009455782313</v>
      </c>
      <c r="K9" s="60">
        <f t="array" ref="K9">IF('Base case- rivet bad gjenbruk'!$E9="kg",XLOOKUP(A9,'EPD data'!$A$4:$A$31,'EPD data'!$R$4:$R$31),XLOOKUP('Base case- rivet bad gjenbruk'!$A9,'EPD data'!$A$4:$A$31,'EPD data'!$M$4:$M$31))</f>
        <v>0.01897591837</v>
      </c>
      <c r="L9" s="60">
        <f>'Base case- rivet bad gjenbruk'!$H9*'Base case- rivet bad gjenbruk'!$C9</f>
        <v>4.897959184</v>
      </c>
      <c r="M9" s="60">
        <f>'Base case- rivet bad gjenbruk'!$J9*'Base case- rivet bad gjenbruk'!$C9</f>
        <v>0.3404081633</v>
      </c>
      <c r="N9" s="66">
        <f>SUM('Base case- rivet bad gjenbruk'!$L9:$M9)</f>
        <v>5.238367347</v>
      </c>
      <c r="O9" s="66">
        <f t="shared" si="1"/>
        <v>0.6831330612</v>
      </c>
      <c r="P9" s="67">
        <f t="shared" si="2"/>
        <v>29.3877551</v>
      </c>
      <c r="Q9" s="67">
        <f>IFERROR('Base case- rivet bad gjenbruk'!$D9*'Base case- rivet bad gjenbruk'!$J9,0)</f>
        <v>2.04244898</v>
      </c>
      <c r="R9" s="68">
        <f>'Base case- rivet bad gjenbruk'!$D9*'Base case- rivet bad gjenbruk'!$I9</f>
        <v>31.43020408</v>
      </c>
      <c r="S9" s="68">
        <f>'Base case- rivet bad gjenbruk'!$K9*'Base case- rivet bad gjenbruk'!$D9</f>
        <v>4.098798367</v>
      </c>
      <c r="T9" s="63" t="s">
        <v>76</v>
      </c>
      <c r="U9" s="64" t="s">
        <v>73</v>
      </c>
    </row>
    <row r="10">
      <c r="A10" s="65" t="s">
        <v>77</v>
      </c>
      <c r="B10" s="64" t="s">
        <v>78</v>
      </c>
      <c r="C10" s="64">
        <v>8.8</v>
      </c>
      <c r="D10" s="59">
        <f>IF('Base case- rivet bad gjenbruk'!$E10="kg",'Base case- rivet bad gjenbruk'!$C10*$B$3,'Base case- rivet bad gjenbruk'!$C10)</f>
        <v>52.8</v>
      </c>
      <c r="E10" s="64" t="s">
        <v>71</v>
      </c>
      <c r="F10" s="64">
        <f t="array" ref="F10">IF('Base case- rivet bad gjenbruk'!$E10="kg",'Base case- rivet bad gjenbruk'!$C10,('Base case- rivet bad gjenbruk'!$C10*XLOOKUP('Base case- rivet bad gjenbruk'!$A10,'EPD data'!$A$4:$A$31,'EPD data'!$H$4:$H$31)))</f>
        <v>8.8</v>
      </c>
      <c r="G10" s="64">
        <f t="array" ref="G10">IF('Base case- rivet bad gjenbruk'!$E10="kg",'Base case- rivet bad gjenbruk'!$D10,('Base case- rivet bad gjenbruk'!$D10*XLOOKUP('Base case- rivet bad gjenbruk'!$A10,'EPD data'!$A$4:$A$31,'EPD data'!$H$4:$H$31)))</f>
        <v>52.8</v>
      </c>
      <c r="H10" s="66">
        <f t="array" ref="H10">IF('Base case- rivet bad gjenbruk'!$E10="kg",XLOOKUP(A10,'EPD data'!$A$4:$A$31,'EPD data'!$O$4:$O$31),XLOOKUP(A10,'EPD data'!$A$4:$A$31,'EPD data'!$J$4:$J$31))</f>
        <v>7.542857143</v>
      </c>
      <c r="I10" s="66">
        <f t="array" ref="I10">IF('Base case- rivet bad gjenbruk'!$E10="kg",XLOOKUP(A10,'EPD data'!$A$4:$A$31,'EPD data'!$Q$4:$Q$31),XLOOKUP('Base case- rivet bad gjenbruk'!$A10,'EPD data'!$A$4:$A$31,'EPD data'!$L$4:$L$31))</f>
        <v>7.591771429</v>
      </c>
      <c r="J10" s="60">
        <f t="array" ref="J10">IF('Base case- rivet bad gjenbruk'!$E10="kg",XLOOKUP('Base case- rivet bad gjenbruk'!$A10,'EPD data'!$A$4:$A$31,'EPD data'!$P$4:$P$31),XLOOKUP('Base case- rivet bad gjenbruk'!$A10,'EPD data'!$A$4:$A$31,'EPD data'!$K$4:$K$31))</f>
        <v>0.04891428571</v>
      </c>
      <c r="K10" s="60">
        <f t="array" ref="K10">IF('Base case- rivet bad gjenbruk'!$E10="kg",XLOOKUP(A10,'EPD data'!$A$4:$A$31,'EPD data'!$R$4:$R$31),XLOOKUP('Base case- rivet bad gjenbruk'!$A10,'EPD data'!$A$4:$A$31,'EPD data'!$M$4:$M$31))</f>
        <v>2.328765714</v>
      </c>
      <c r="L10" s="60">
        <f>'Base case- rivet bad gjenbruk'!$H10*'Base case- rivet bad gjenbruk'!$C10</f>
        <v>66.37714286</v>
      </c>
      <c r="M10" s="60">
        <f>'Base case- rivet bad gjenbruk'!$J10*'Base case- rivet bad gjenbruk'!$C10</f>
        <v>0.4304457143</v>
      </c>
      <c r="N10" s="66">
        <f>SUM('Base case- rivet bad gjenbruk'!$L10:$M10)</f>
        <v>66.80758857</v>
      </c>
      <c r="O10" s="66">
        <f t="shared" si="1"/>
        <v>20.49313829</v>
      </c>
      <c r="P10" s="67">
        <f t="shared" si="2"/>
        <v>398.2628571</v>
      </c>
      <c r="Q10" s="67">
        <f>IFERROR('Base case- rivet bad gjenbruk'!$D10*'Base case- rivet bad gjenbruk'!$J10,0)</f>
        <v>2.582674286</v>
      </c>
      <c r="R10" s="68">
        <f>'Base case- rivet bad gjenbruk'!$D10*'Base case- rivet bad gjenbruk'!$I10</f>
        <v>400.8455314</v>
      </c>
      <c r="S10" s="68">
        <f>'Base case- rivet bad gjenbruk'!$K10*'Base case- rivet bad gjenbruk'!$D10</f>
        <v>122.9588297</v>
      </c>
      <c r="T10" s="63" t="s">
        <v>79</v>
      </c>
      <c r="U10" s="64" t="s">
        <v>73</v>
      </c>
    </row>
    <row r="11">
      <c r="A11" s="65" t="s">
        <v>80</v>
      </c>
      <c r="B11" s="64" t="s">
        <v>81</v>
      </c>
      <c r="C11" s="64">
        <v>2.8</v>
      </c>
      <c r="D11" s="59">
        <f>IF('Base case- rivet bad gjenbruk'!$E11="kg",'Base case- rivet bad gjenbruk'!$C11*$B$3,'Base case- rivet bad gjenbruk'!$C11)</f>
        <v>16.8</v>
      </c>
      <c r="E11" s="64" t="s">
        <v>71</v>
      </c>
      <c r="F11" s="64">
        <f t="array" ref="F11">IF('Base case- rivet bad gjenbruk'!$E11="kg",'Base case- rivet bad gjenbruk'!$C11,('Base case- rivet bad gjenbruk'!$C11*XLOOKUP('Base case- rivet bad gjenbruk'!$A11,'EPD data'!$A$4:$A$31,'EPD data'!$H$4:$H$31)))</f>
        <v>2.8</v>
      </c>
      <c r="G11" s="64">
        <f t="array" ref="G11">IF('Base case- rivet bad gjenbruk'!$E11="kg",'Base case- rivet bad gjenbruk'!$D11,('Base case- rivet bad gjenbruk'!$D11*XLOOKUP('Base case- rivet bad gjenbruk'!$A11,'EPD data'!$A$4:$A$31,'EPD data'!$H$4:$H$31)))</f>
        <v>16.8</v>
      </c>
      <c r="H11" s="66">
        <f t="array" ref="H11">IF('Base case- rivet bad gjenbruk'!$E11="kg",XLOOKUP(A11,'EPD data'!$A$4:$A$31,'EPD data'!$O$4:$O$31),XLOOKUP(A11,'EPD data'!$A$4:$A$31,'EPD data'!$J$4:$J$31))</f>
        <v>0.9724137931</v>
      </c>
      <c r="I11" s="66">
        <f t="array" ref="I11">IF('Base case- rivet bad gjenbruk'!$E11="kg",XLOOKUP(A11,'EPD data'!$A$4:$A$31,'EPD data'!$Q$4:$Q$31),XLOOKUP('Base case- rivet bad gjenbruk'!$A11,'EPD data'!$A$4:$A$31,'EPD data'!$L$4:$L$31))</f>
        <v>1.007931034</v>
      </c>
      <c r="J11" s="60">
        <f t="array" ref="J11">IF('Base case- rivet bad gjenbruk'!$E11="kg",XLOOKUP('Base case- rivet bad gjenbruk'!$A11,'EPD data'!$A$4:$A$31,'EPD data'!$P$4:$P$31),XLOOKUP('Base case- rivet bad gjenbruk'!$A11,'EPD data'!$A$4:$A$31,'EPD data'!$K$4:$K$31))</f>
        <v>0.03551724138</v>
      </c>
      <c r="K11" s="60">
        <f t="array" ref="K11">IF('Base case- rivet bad gjenbruk'!$E11="kg",XLOOKUP(A11,'EPD data'!$A$4:$A$31,'EPD data'!$R$4:$R$31),XLOOKUP('Base case- rivet bad gjenbruk'!$A11,'EPD data'!$A$4:$A$31,'EPD data'!$M$4:$M$31))</f>
        <v>0.01751724138</v>
      </c>
      <c r="L11" s="60">
        <f>'Base case- rivet bad gjenbruk'!$H11*'Base case- rivet bad gjenbruk'!$C11</f>
        <v>2.722758621</v>
      </c>
      <c r="M11" s="60">
        <f>'Base case- rivet bad gjenbruk'!$J11*'Base case- rivet bad gjenbruk'!$C11</f>
        <v>0.09944827586</v>
      </c>
      <c r="N11" s="66">
        <f>SUM('Base case- rivet bad gjenbruk'!$L11:$M11)</f>
        <v>2.822206897</v>
      </c>
      <c r="O11" s="66">
        <f t="shared" si="1"/>
        <v>0.04904827586</v>
      </c>
      <c r="P11" s="67">
        <f t="shared" si="2"/>
        <v>16.33655172</v>
      </c>
      <c r="Q11" s="67">
        <f>IFERROR('Base case- rivet bad gjenbruk'!$D11*'Base case- rivet bad gjenbruk'!$J11,0)</f>
        <v>0.5966896552</v>
      </c>
      <c r="R11" s="68">
        <f>'Base case- rivet bad gjenbruk'!$D11*'Base case- rivet bad gjenbruk'!$I11</f>
        <v>16.93324138</v>
      </c>
      <c r="S11" s="68">
        <f>'Base case- rivet bad gjenbruk'!$K11*'Base case- rivet bad gjenbruk'!$D11</f>
        <v>0.2942896552</v>
      </c>
      <c r="T11" s="63" t="s">
        <v>82</v>
      </c>
      <c r="U11" s="64" t="s">
        <v>73</v>
      </c>
    </row>
    <row r="12">
      <c r="A12" s="65" t="s">
        <v>83</v>
      </c>
      <c r="B12" s="64" t="s">
        <v>84</v>
      </c>
      <c r="C12" s="64">
        <v>1.0</v>
      </c>
      <c r="D12" s="59">
        <f>IF('Base case- rivet bad gjenbruk'!$E12="kg",'Base case- rivet bad gjenbruk'!$C12*$B$3,'Base case- rivet bad gjenbruk'!$C12)</f>
        <v>6</v>
      </c>
      <c r="E12" s="64" t="s">
        <v>71</v>
      </c>
      <c r="F12" s="64">
        <f t="array" ref="F12">IF('Base case- rivet bad gjenbruk'!$E12="kg",'Base case- rivet bad gjenbruk'!$C12,('Base case- rivet bad gjenbruk'!$C12*XLOOKUP('Base case- rivet bad gjenbruk'!$A12,'EPD data'!$A$4:$A$31,'EPD data'!$H$4:$H$31)))</f>
        <v>1</v>
      </c>
      <c r="G12" s="64">
        <f t="array" ref="G12">IF('Base case- rivet bad gjenbruk'!$E12="kg",'Base case- rivet bad gjenbruk'!$D12,('Base case- rivet bad gjenbruk'!$D12*XLOOKUP('Base case- rivet bad gjenbruk'!$A12,'EPD data'!$A$4:$A$31,'EPD data'!$H$4:$H$31)))</f>
        <v>6</v>
      </c>
      <c r="H12" s="66">
        <f t="array" ref="H12">IF('Base case- rivet bad gjenbruk'!$E12="kg",XLOOKUP(A12,'EPD data'!$A$4:$A$31,'EPD data'!$O$4:$O$31),XLOOKUP(A12,'EPD data'!$A$4:$A$31,'EPD data'!$J$4:$J$31))</f>
        <v>2.6628</v>
      </c>
      <c r="I12" s="66">
        <f t="array" ref="I12">IF('Base case- rivet bad gjenbruk'!$E12="kg",XLOOKUP(A12,'EPD data'!$A$4:$A$31,'EPD data'!$Q$4:$Q$31),XLOOKUP('Base case- rivet bad gjenbruk'!$A12,'EPD data'!$A$4:$A$31,'EPD data'!$L$4:$L$31))</f>
        <v>2.6628</v>
      </c>
      <c r="J12" s="60">
        <f t="array" ref="J12">IF('Base case- rivet bad gjenbruk'!$E12="kg",XLOOKUP('Base case- rivet bad gjenbruk'!$A12,'EPD data'!$A$4:$A$31,'EPD data'!$P$4:$P$31),XLOOKUP('Base case- rivet bad gjenbruk'!$A12,'EPD data'!$A$4:$A$31,'EPD data'!$K$4:$K$31))</f>
        <v>0</v>
      </c>
      <c r="K12" s="60">
        <f t="array" ref="K12">IF('Base case- rivet bad gjenbruk'!$E12="kg",XLOOKUP(A12,'EPD data'!$A$4:$A$31,'EPD data'!$R$4:$R$31),XLOOKUP('Base case- rivet bad gjenbruk'!$A12,'EPD data'!$A$4:$A$31,'EPD data'!$M$4:$M$31))</f>
        <v>0</v>
      </c>
      <c r="L12" s="60">
        <f>'Base case- rivet bad gjenbruk'!$H12*'Base case- rivet bad gjenbruk'!$C12</f>
        <v>2.6628</v>
      </c>
      <c r="M12" s="60">
        <f>'Base case- rivet bad gjenbruk'!$J12*'Base case- rivet bad gjenbruk'!$C12</f>
        <v>0</v>
      </c>
      <c r="N12" s="66">
        <f>SUM('Base case- rivet bad gjenbruk'!$L12:$M12)</f>
        <v>2.6628</v>
      </c>
      <c r="O12" s="66">
        <f t="shared" si="1"/>
        <v>0</v>
      </c>
      <c r="P12" s="67">
        <f t="shared" si="2"/>
        <v>15.9768</v>
      </c>
      <c r="Q12" s="69">
        <f>IFERROR('Base case- rivet bad gjenbruk'!$D12*'Base case- rivet bad gjenbruk'!$J12,0)</f>
        <v>0</v>
      </c>
      <c r="R12" s="68">
        <f>'Base case- rivet bad gjenbruk'!$D12*'Base case- rivet bad gjenbruk'!$I12</f>
        <v>15.9768</v>
      </c>
      <c r="S12" s="68">
        <f>IFERROR('Base case- rivet bad gjenbruk'!$K12*'Base case- rivet bad gjenbruk'!$D12,0)</f>
        <v>0</v>
      </c>
      <c r="T12" s="63" t="s">
        <v>85</v>
      </c>
      <c r="U12" s="64" t="s">
        <v>73</v>
      </c>
    </row>
    <row r="13">
      <c r="A13" s="65" t="s">
        <v>86</v>
      </c>
      <c r="B13" s="64" t="s">
        <v>87</v>
      </c>
      <c r="C13" s="70">
        <v>22.5</v>
      </c>
      <c r="D13" s="59">
        <f>IF('Base case- rivet bad gjenbruk'!$E13="kg",'Base case- rivet bad gjenbruk'!$C13*$B$3,'Base case- rivet bad gjenbruk'!$C13)</f>
        <v>135</v>
      </c>
      <c r="E13" s="64" t="s">
        <v>71</v>
      </c>
      <c r="F13" s="64">
        <f t="array" ref="F13">IF('Base case- rivet bad gjenbruk'!$E13="kg",'Base case- rivet bad gjenbruk'!$C13,('Base case- rivet bad gjenbruk'!$C13*XLOOKUP('Base case- rivet bad gjenbruk'!$A13,'EPD data'!$A$4:$A$31,'EPD data'!$H$4:$H$31)))</f>
        <v>22.5</v>
      </c>
      <c r="G13" s="64">
        <f t="array" ref="G13">IF('Base case- rivet bad gjenbruk'!$E13="kg",'Base case- rivet bad gjenbruk'!$D13,('Base case- rivet bad gjenbruk'!$D13*XLOOKUP('Base case- rivet bad gjenbruk'!$A13,'EPD data'!$A$4:$A$31,'EPD data'!$H$4:$H$31)))</f>
        <v>135</v>
      </c>
      <c r="H13" s="66">
        <f t="array" ref="H13">IF('Base case- rivet bad gjenbruk'!$E13="kg",XLOOKUP(A13,'EPD data'!$A$4:$A$31,'EPD data'!$O$4:$O$31),XLOOKUP(A13,'EPD data'!$A$4:$A$31,'EPD data'!$J$4:$J$31))</f>
        <v>0.171</v>
      </c>
      <c r="I13" s="66">
        <f t="array" ref="I13">IF('Base case- rivet bad gjenbruk'!$E13="kg",XLOOKUP(A13,'EPD data'!$A$4:$A$31,'EPD data'!$Q$4:$Q$31),XLOOKUP('Base case- rivet bad gjenbruk'!$A13,'EPD data'!$A$4:$A$31,'EPD data'!$L$4:$L$31))</f>
        <v>0.171</v>
      </c>
      <c r="J13" s="60">
        <f t="array" ref="J13">IF('Base case- rivet bad gjenbruk'!$E13="kg",XLOOKUP('Base case- rivet bad gjenbruk'!$A13,'EPD data'!$A$4:$A$31,'EPD data'!$P$4:$P$31),XLOOKUP('Base case- rivet bad gjenbruk'!$A13,'EPD data'!$A$4:$A$31,'EPD data'!$K$4:$K$31))</f>
        <v>0</v>
      </c>
      <c r="K13" s="60">
        <f t="array" ref="K13">IF('Base case- rivet bad gjenbruk'!$E13="kg",XLOOKUP(A13,'EPD data'!$A$4:$A$31,'EPD data'!$R$4:$R$31),XLOOKUP('Base case- rivet bad gjenbruk'!$A13,'EPD data'!$A$4:$A$31,'EPD data'!$M$4:$M$31))</f>
        <v>0</v>
      </c>
      <c r="L13" s="60">
        <f>'Base case- rivet bad gjenbruk'!$H13*'Base case- rivet bad gjenbruk'!$C13</f>
        <v>3.8475</v>
      </c>
      <c r="M13" s="60">
        <f>'Base case- rivet bad gjenbruk'!$J13*'Base case- rivet bad gjenbruk'!$C13</f>
        <v>0</v>
      </c>
      <c r="N13" s="66">
        <f>SUM('Base case- rivet bad gjenbruk'!$L13:$M13)</f>
        <v>3.8475</v>
      </c>
      <c r="O13" s="66">
        <f t="shared" si="1"/>
        <v>0</v>
      </c>
      <c r="P13" s="67">
        <f t="shared" si="2"/>
        <v>23.085</v>
      </c>
      <c r="Q13" s="69">
        <f>IFERROR('Base case- rivet bad gjenbruk'!$D13*'Base case- rivet bad gjenbruk'!$J13,0)</f>
        <v>0</v>
      </c>
      <c r="R13" s="68">
        <f>'Base case- rivet bad gjenbruk'!$D13*'Base case- rivet bad gjenbruk'!$I13</f>
        <v>23.085</v>
      </c>
      <c r="S13" s="68">
        <f>IFERROR('Base case- rivet bad gjenbruk'!$K13*'Base case- rivet bad gjenbruk'!$D13,0)</f>
        <v>0</v>
      </c>
      <c r="T13" s="63" t="s">
        <v>88</v>
      </c>
      <c r="U13" s="64" t="s">
        <v>73</v>
      </c>
    </row>
    <row r="14">
      <c r="A14" s="65" t="s">
        <v>89</v>
      </c>
      <c r="B14" s="64" t="s">
        <v>90</v>
      </c>
      <c r="C14" s="64">
        <v>2.4</v>
      </c>
      <c r="D14" s="59">
        <f>IF('Base case- rivet bad gjenbruk'!$E14="kg",'Base case- rivet bad gjenbruk'!$C14*$B$3,'Base case- rivet bad gjenbruk'!$C14)</f>
        <v>14.4</v>
      </c>
      <c r="E14" s="64" t="s">
        <v>71</v>
      </c>
      <c r="F14" s="64">
        <f t="array" ref="F14">IF('Base case- rivet bad gjenbruk'!$E14="kg",'Base case- rivet bad gjenbruk'!$C14,('Base case- rivet bad gjenbruk'!$C14*XLOOKUP('Base case- rivet bad gjenbruk'!$A14,'EPD data'!$A$4:$A$31,'EPD data'!$H$4:$H$31)))</f>
        <v>2.4</v>
      </c>
      <c r="G14" s="64">
        <f t="array" ref="G14">IF('Base case- rivet bad gjenbruk'!$E14="kg",'Base case- rivet bad gjenbruk'!$D14,('Base case- rivet bad gjenbruk'!$D14*XLOOKUP('Base case- rivet bad gjenbruk'!$A14,'EPD data'!$A$4:$A$31,'EPD data'!$H$4:$H$31)))</f>
        <v>14.4</v>
      </c>
      <c r="H14" s="66">
        <f t="array" ref="H14">IF('Base case- rivet bad gjenbruk'!$E14="kg",XLOOKUP(A14,'EPD data'!$A$4:$A$31,'EPD data'!$O$4:$O$31),XLOOKUP(A14,'EPD data'!$A$4:$A$31,'EPD data'!$J$4:$J$31))</f>
        <v>0.393</v>
      </c>
      <c r="I14" s="66">
        <f t="array" ref="I14">IF('Base case- rivet bad gjenbruk'!$E14="kg",XLOOKUP(A14,'EPD data'!$A$4:$A$31,'EPD data'!$Q$4:$Q$31),XLOOKUP('Base case- rivet bad gjenbruk'!$A14,'EPD data'!$A$4:$A$31,'EPD data'!$L$4:$L$31))</f>
        <v>0.4032</v>
      </c>
      <c r="J14" s="60">
        <f t="array" ref="J14">IF('Base case- rivet bad gjenbruk'!$E14="kg",XLOOKUP('Base case- rivet bad gjenbruk'!$A14,'EPD data'!$A$4:$A$31,'EPD data'!$P$4:$P$31),XLOOKUP('Base case- rivet bad gjenbruk'!$A14,'EPD data'!$A$4:$A$31,'EPD data'!$K$4:$K$31))</f>
        <v>0.0102</v>
      </c>
      <c r="K14" s="60">
        <f t="array" ref="K14">IF('Base case- rivet bad gjenbruk'!$E14="kg",XLOOKUP(A14,'EPD data'!$A$4:$A$31,'EPD data'!$R$4:$R$31),XLOOKUP('Base case- rivet bad gjenbruk'!$A14,'EPD data'!$A$4:$A$31,'EPD data'!$M$4:$M$31))</f>
        <v>0.067994</v>
      </c>
      <c r="L14" s="60">
        <f>'Base case- rivet bad gjenbruk'!$H14*'Base case- rivet bad gjenbruk'!$C14</f>
        <v>0.9432</v>
      </c>
      <c r="M14" s="60">
        <f>'Base case- rivet bad gjenbruk'!$J14*'Base case- rivet bad gjenbruk'!$C14</f>
        <v>0.02448</v>
      </c>
      <c r="N14" s="66">
        <f>SUM('Base case- rivet bad gjenbruk'!$L14:$M14)</f>
        <v>0.96768</v>
      </c>
      <c r="O14" s="66">
        <f t="shared" si="1"/>
        <v>0.1631856</v>
      </c>
      <c r="P14" s="67">
        <f t="shared" si="2"/>
        <v>5.6592</v>
      </c>
      <c r="Q14" s="67">
        <f>IFERROR('Base case- rivet bad gjenbruk'!$D14*'Base case- rivet bad gjenbruk'!$J14,0)</f>
        <v>0.14688</v>
      </c>
      <c r="R14" s="68">
        <f>'Base case- rivet bad gjenbruk'!$D14*'Base case- rivet bad gjenbruk'!$I14</f>
        <v>5.80608</v>
      </c>
      <c r="S14" s="68">
        <f>'Base case- rivet bad gjenbruk'!$K14*'Base case- rivet bad gjenbruk'!$D14</f>
        <v>0.9791136</v>
      </c>
      <c r="T14" s="63" t="s">
        <v>91</v>
      </c>
      <c r="U14" s="64" t="s">
        <v>73</v>
      </c>
    </row>
    <row r="15">
      <c r="A15" s="65" t="s">
        <v>92</v>
      </c>
      <c r="B15" s="64" t="s">
        <v>93</v>
      </c>
      <c r="C15" s="64">
        <v>2.4</v>
      </c>
      <c r="D15" s="59">
        <f>IF('Base case- rivet bad gjenbruk'!$E15="kg",'Base case- rivet bad gjenbruk'!$C15*$B$3,'Base case- rivet bad gjenbruk'!$C15)</f>
        <v>14.4</v>
      </c>
      <c r="E15" s="64" t="s">
        <v>71</v>
      </c>
      <c r="F15" s="64">
        <f t="array" ref="F15">IF('Base case- rivet bad gjenbruk'!$E15="kg",'Base case- rivet bad gjenbruk'!$C15,('Base case- rivet bad gjenbruk'!$C15*XLOOKUP('Base case- rivet bad gjenbruk'!$A15,'EPD data'!$A$4:$A$31,'EPD data'!$H$4:$H$31)))</f>
        <v>2.4</v>
      </c>
      <c r="G15" s="64">
        <f t="array" ref="G15">IF('Base case- rivet bad gjenbruk'!$E15="kg",'Base case- rivet bad gjenbruk'!$D15,('Base case- rivet bad gjenbruk'!$D15*XLOOKUP('Base case- rivet bad gjenbruk'!$A15,'EPD data'!$A$4:$A$31,'EPD data'!$H$4:$H$31)))</f>
        <v>14.4</v>
      </c>
      <c r="H15" s="66">
        <f t="array" ref="H15">IF('Base case- rivet bad gjenbruk'!$E15="kg",XLOOKUP(A15,'EPD data'!$A$4:$A$31,'EPD data'!$O$4:$O$31),XLOOKUP(A15,'EPD data'!$A$4:$A$31,'EPD data'!$J$4:$J$31))</f>
        <v>4.537815126</v>
      </c>
      <c r="I15" s="66">
        <f t="array" ref="I15">IF('Base case- rivet bad gjenbruk'!$E15="kg",XLOOKUP(A15,'EPD data'!$A$4:$A$31,'EPD data'!$Q$4:$Q$31),XLOOKUP('Base case- rivet bad gjenbruk'!$A15,'EPD data'!$A$4:$A$31,'EPD data'!$L$4:$L$31))</f>
        <v>4.601120448</v>
      </c>
      <c r="J15" s="60">
        <f t="array" ref="J15">IF('Base case- rivet bad gjenbruk'!$E15="kg",XLOOKUP('Base case- rivet bad gjenbruk'!$A15,'EPD data'!$A$4:$A$31,'EPD data'!$P$4:$P$31),XLOOKUP('Base case- rivet bad gjenbruk'!$A15,'EPD data'!$A$4:$A$31,'EPD data'!$K$4:$K$31))</f>
        <v>0.06330532213</v>
      </c>
      <c r="K15" s="60">
        <f t="array" ref="K15">IF('Base case- rivet bad gjenbruk'!$E15="kg",XLOOKUP(A15,'EPD data'!$A$4:$A$31,'EPD data'!$R$4:$R$31),XLOOKUP('Base case- rivet bad gjenbruk'!$A15,'EPD data'!$A$4:$A$31,'EPD data'!$M$4:$M$31))</f>
        <v>0.8642408964</v>
      </c>
      <c r="L15" s="60">
        <f>'Base case- rivet bad gjenbruk'!$H15*'Base case- rivet bad gjenbruk'!$C15</f>
        <v>10.8907563</v>
      </c>
      <c r="M15" s="60">
        <f>'Base case- rivet bad gjenbruk'!$J15*'Base case- rivet bad gjenbruk'!$C15</f>
        <v>0.1519327731</v>
      </c>
      <c r="N15" s="66">
        <f>SUM('Base case- rivet bad gjenbruk'!$L15:$M15)</f>
        <v>11.04268908</v>
      </c>
      <c r="O15" s="66">
        <f t="shared" si="1"/>
        <v>2.074178151</v>
      </c>
      <c r="P15" s="67">
        <f t="shared" si="2"/>
        <v>65.34453782</v>
      </c>
      <c r="Q15" s="67">
        <f>IFERROR('Base case- rivet bad gjenbruk'!$D15*'Base case- rivet bad gjenbruk'!$J15,0)</f>
        <v>0.9115966387</v>
      </c>
      <c r="R15" s="68">
        <f>'Base case- rivet bad gjenbruk'!$D15*'Base case- rivet bad gjenbruk'!$I15</f>
        <v>66.25613445</v>
      </c>
      <c r="S15" s="68">
        <f>'Base case- rivet bad gjenbruk'!$K15*'Base case- rivet bad gjenbruk'!$D15</f>
        <v>12.44506891</v>
      </c>
      <c r="T15" s="63" t="s">
        <v>94</v>
      </c>
      <c r="U15" s="64" t="s">
        <v>73</v>
      </c>
    </row>
    <row r="16">
      <c r="A16" s="65" t="s">
        <v>95</v>
      </c>
      <c r="B16" s="64" t="s">
        <v>96</v>
      </c>
      <c r="C16" s="64">
        <v>18.6</v>
      </c>
      <c r="D16" s="59">
        <f>IF('Base case- rivet bad gjenbruk'!$E16="kg",'Base case- rivet bad gjenbruk'!$C16*$B$3,'Base case- rivet bad gjenbruk'!$C16)</f>
        <v>111.6</v>
      </c>
      <c r="E16" s="64" t="s">
        <v>71</v>
      </c>
      <c r="F16" s="64">
        <f t="array" ref="F16">IF('Base case- rivet bad gjenbruk'!$E16="kg",'Base case- rivet bad gjenbruk'!$C16,('Base case- rivet bad gjenbruk'!$C16*XLOOKUP('Base case- rivet bad gjenbruk'!$A16,'EPD data'!$A$4:$A$31,'EPD data'!$H$4:$H$31)))</f>
        <v>18.6</v>
      </c>
      <c r="G16" s="64">
        <f t="array" ref="G16">IF('Base case- rivet bad gjenbruk'!$E16="kg",'Base case- rivet bad gjenbruk'!$D16,('Base case- rivet bad gjenbruk'!$D16*XLOOKUP('Base case- rivet bad gjenbruk'!$A16,'EPD data'!$A$4:$A$31,'EPD data'!$H$4:$H$31)))</f>
        <v>111.6</v>
      </c>
      <c r="H16" s="66">
        <f t="array" ref="H16">IF('Base case- rivet bad gjenbruk'!$E16="kg",XLOOKUP(A16,'EPD data'!$A$4:$A$31,'EPD data'!$O$4:$O$31),XLOOKUP(A16,'EPD data'!$A$4:$A$31,'EPD data'!$J$4:$J$31))</f>
        <v>0.1791953116</v>
      </c>
      <c r="I16" s="66">
        <f t="array" ref="I16">IF('Base case- rivet bad gjenbruk'!$E16="kg",XLOOKUP(A16,'EPD data'!$A$4:$A$31,'EPD data'!$Q$4:$Q$31),XLOOKUP('Base case- rivet bad gjenbruk'!$A16,'EPD data'!$A$4:$A$31,'EPD data'!$L$4:$L$31))</f>
        <v>0.2087230925</v>
      </c>
      <c r="J16" s="60">
        <f t="array" ref="J16">IF('Base case- rivet bad gjenbruk'!$E16="kg",XLOOKUP('Base case- rivet bad gjenbruk'!$A16,'EPD data'!$A$4:$A$31,'EPD data'!$P$4:$P$31),XLOOKUP('Base case- rivet bad gjenbruk'!$A16,'EPD data'!$A$4:$A$31,'EPD data'!$K$4:$K$31))</f>
        <v>0.02952778091</v>
      </c>
      <c r="K16" s="60">
        <f t="array" ref="K16">IF('Base case- rivet bad gjenbruk'!$E16="kg",XLOOKUP(A16,'EPD data'!$A$4:$A$31,'EPD data'!$R$4:$R$31),XLOOKUP('Base case- rivet bad gjenbruk'!$A16,'EPD data'!$A$4:$A$31,'EPD data'!$M$4:$M$31))</f>
        <v>0.1018078102</v>
      </c>
      <c r="L16" s="60">
        <f>'Base case- rivet bad gjenbruk'!$H16*'Base case- rivet bad gjenbruk'!$C16</f>
        <v>3.333032796</v>
      </c>
      <c r="M16" s="60">
        <f>'Base case- rivet bad gjenbruk'!$J16*'Base case- rivet bad gjenbruk'!$C16</f>
        <v>0.5492167249</v>
      </c>
      <c r="N16" s="66">
        <f>SUM('Base case- rivet bad gjenbruk'!$L16:$M16)</f>
        <v>3.882249521</v>
      </c>
      <c r="O16" s="66">
        <f t="shared" si="1"/>
        <v>1.89362527</v>
      </c>
      <c r="P16" s="67">
        <f t="shared" si="2"/>
        <v>19.99819678</v>
      </c>
      <c r="Q16" s="67">
        <f>IFERROR('Base case- rivet bad gjenbruk'!$D16*'Base case- rivet bad gjenbruk'!$J16,0)</f>
        <v>3.295300349</v>
      </c>
      <c r="R16" s="68">
        <f>'Base case- rivet bad gjenbruk'!$D16*'Base case- rivet bad gjenbruk'!$I16</f>
        <v>23.29349713</v>
      </c>
      <c r="S16" s="68">
        <f>'Base case- rivet bad gjenbruk'!$K16*'Base case- rivet bad gjenbruk'!$D16</f>
        <v>11.36175162</v>
      </c>
      <c r="T16" s="63" t="s">
        <v>97</v>
      </c>
      <c r="U16" s="64" t="s">
        <v>73</v>
      </c>
    </row>
    <row r="17" ht="15.75" customHeight="1">
      <c r="A17" s="65" t="s">
        <v>98</v>
      </c>
      <c r="B17" s="64" t="s">
        <v>99</v>
      </c>
      <c r="C17" s="64">
        <v>0.2</v>
      </c>
      <c r="D17" s="59">
        <f>IF('Base case- rivet bad gjenbruk'!$E17="kg",'Base case- rivet bad gjenbruk'!$C17*$B$3,'Base case- rivet bad gjenbruk'!$C17)</f>
        <v>1.2</v>
      </c>
      <c r="E17" s="64" t="s">
        <v>71</v>
      </c>
      <c r="F17" s="64">
        <f t="array" ref="F17">IF('Base case- rivet bad gjenbruk'!$E17="kg",'Base case- rivet bad gjenbruk'!$C17,('Base case- rivet bad gjenbruk'!$C17*XLOOKUP('Base case- rivet bad gjenbruk'!$A17,'EPD data'!$A$4:$A$31,'EPD data'!$H$4:$H$31)))</f>
        <v>0.2</v>
      </c>
      <c r="G17" s="64">
        <f t="array" ref="G17">IF('Base case- rivet bad gjenbruk'!$E17="kg",'Base case- rivet bad gjenbruk'!$D17,('Base case- rivet bad gjenbruk'!$D17*XLOOKUP('Base case- rivet bad gjenbruk'!$A17,'EPD data'!$A$4:$A$31,'EPD data'!$H$4:$H$31)))</f>
        <v>1.2</v>
      </c>
      <c r="H17" s="66">
        <f t="array" ref="H17">IF('Base case- rivet bad gjenbruk'!$E17="kg",XLOOKUP(A17,'EPD data'!$A$4:$A$31,'EPD data'!$O$4:$O$31),XLOOKUP(A17,'EPD data'!$A$4:$A$31,'EPD data'!$J$4:$J$31))</f>
        <v>4.0233</v>
      </c>
      <c r="I17" s="66">
        <f t="array" ref="I17">IF('Base case- rivet bad gjenbruk'!$E17="kg",XLOOKUP(A17,'EPD data'!$A$4:$A$31,'EPD data'!$Q$4:$Q$31),XLOOKUP('Base case- rivet bad gjenbruk'!$A17,'EPD data'!$A$4:$A$31,'EPD data'!$L$4:$L$31))</f>
        <v>4.0233</v>
      </c>
      <c r="J17" s="60">
        <f t="array" ref="J17">IF('Base case- rivet bad gjenbruk'!$E17="kg",XLOOKUP('Base case- rivet bad gjenbruk'!$A17,'EPD data'!$A$4:$A$31,'EPD data'!$P$4:$P$31),XLOOKUP('Base case- rivet bad gjenbruk'!$A17,'EPD data'!$A$4:$A$31,'EPD data'!$K$4:$K$31))</f>
        <v>0</v>
      </c>
      <c r="K17" s="60">
        <f t="array" ref="K17">IF('Base case- rivet bad gjenbruk'!$E17="kg",XLOOKUP(A17,'EPD data'!$A$4:$A$31,'EPD data'!$R$4:$R$31),XLOOKUP('Base case- rivet bad gjenbruk'!$A17,'EPD data'!$A$4:$A$31,'EPD data'!$M$4:$M$31))</f>
        <v>0</v>
      </c>
      <c r="L17" s="60">
        <f>'Base case- rivet bad gjenbruk'!$H17*'Base case- rivet bad gjenbruk'!$C17</f>
        <v>0.80466</v>
      </c>
      <c r="M17" s="60">
        <f>'Base case- rivet bad gjenbruk'!$J17*'Base case- rivet bad gjenbruk'!$C17</f>
        <v>0</v>
      </c>
      <c r="N17" s="66">
        <f>SUM('Base case- rivet bad gjenbruk'!$L17:$M17)</f>
        <v>0.80466</v>
      </c>
      <c r="O17" s="66">
        <f t="shared" si="1"/>
        <v>0</v>
      </c>
      <c r="P17" s="67">
        <f t="shared" si="2"/>
        <v>4.82796</v>
      </c>
      <c r="Q17" s="69">
        <f>IFERROR('Base case- rivet bad gjenbruk'!$D17*'Base case- rivet bad gjenbruk'!$J17,0)</f>
        <v>0</v>
      </c>
      <c r="R17" s="68">
        <f>'Base case- rivet bad gjenbruk'!$D17*'Base case- rivet bad gjenbruk'!$I17</f>
        <v>4.82796</v>
      </c>
      <c r="S17" s="68">
        <f>IFERROR(O17*$D$17,0)</f>
        <v>0</v>
      </c>
      <c r="T17" s="71" t="s">
        <v>100</v>
      </c>
      <c r="U17" s="72" t="s">
        <v>101</v>
      </c>
    </row>
    <row r="18">
      <c r="A18" s="65" t="s">
        <v>102</v>
      </c>
      <c r="B18" s="64"/>
      <c r="C18" s="64">
        <v>2.4</v>
      </c>
      <c r="D18" s="59">
        <f>IF('Base case- rivet bad gjenbruk'!$E18="kg",'Base case- rivet bad gjenbruk'!$C18*$B$3,'Base case- rivet bad gjenbruk'!$C18)</f>
        <v>14.4</v>
      </c>
      <c r="E18" s="64" t="s">
        <v>71</v>
      </c>
      <c r="F18" s="64">
        <f t="array" ref="F18">IF('Base case- rivet bad gjenbruk'!$E18="kg",'Base case- rivet bad gjenbruk'!$C18,('Base case- rivet bad gjenbruk'!$C18*XLOOKUP('Base case- rivet bad gjenbruk'!$A18,'EPD data'!$A$4:$A$31,'EPD data'!$H$4:$H$31)))</f>
        <v>2.4</v>
      </c>
      <c r="G18" s="64">
        <f t="array" ref="G18">IF('Base case- rivet bad gjenbruk'!$E18="kg",'Base case- rivet bad gjenbruk'!$D18,('Base case- rivet bad gjenbruk'!$D18*XLOOKUP('Base case- rivet bad gjenbruk'!$A18,'EPD data'!$A$4:$A$31,'EPD data'!$H$4:$H$31)))</f>
        <v>14.4</v>
      </c>
      <c r="H18" s="66">
        <f t="array" ref="H18">IF('Base case- rivet bad gjenbruk'!$E18="kg",XLOOKUP(A18,'EPD data'!$A$4:$A$31,'EPD data'!$O$4:$O$31),XLOOKUP(A18,'EPD data'!$A$4:$A$31,'EPD data'!$J$4:$J$31))</f>
        <v>1.36</v>
      </c>
      <c r="I18" s="66">
        <f t="array" ref="I18">IF('Base case- rivet bad gjenbruk'!$E18="kg",XLOOKUP(A18,'EPD data'!$A$4:$A$31,'EPD data'!$Q$4:$Q$31),XLOOKUP('Base case- rivet bad gjenbruk'!$A18,'EPD data'!$A$4:$A$31,'EPD data'!$L$4:$L$31))</f>
        <v>1.4106</v>
      </c>
      <c r="J18" s="60">
        <f t="array" ref="J18">IF('Base case- rivet bad gjenbruk'!$E18="kg",XLOOKUP('Base case- rivet bad gjenbruk'!$A18,'EPD data'!$A$4:$A$31,'EPD data'!$P$4:$P$31),XLOOKUP('Base case- rivet bad gjenbruk'!$A18,'EPD data'!$A$4:$A$31,'EPD data'!$K$4:$K$31))</f>
        <v>0.0506</v>
      </c>
      <c r="K18" s="60">
        <f t="array" ref="K18">IF('Base case- rivet bad gjenbruk'!$E18="kg",XLOOKUP(A18,'EPD data'!$A$4:$A$31,'EPD data'!$R$4:$R$31),XLOOKUP('Base case- rivet bad gjenbruk'!$A18,'EPD data'!$A$4:$A$31,'EPD data'!$M$4:$M$31))</f>
        <v>0.441066</v>
      </c>
      <c r="L18" s="60">
        <f>'Base case- rivet bad gjenbruk'!$H18*'Base case- rivet bad gjenbruk'!$C18</f>
        <v>3.264</v>
      </c>
      <c r="M18" s="60">
        <f>'Base case- rivet bad gjenbruk'!$J18*'Base case- rivet bad gjenbruk'!$C18</f>
        <v>0.12144</v>
      </c>
      <c r="N18" s="66">
        <f>SUM('Base case- rivet bad gjenbruk'!$L18:$M18)</f>
        <v>3.38544</v>
      </c>
      <c r="O18" s="66">
        <f t="shared" si="1"/>
        <v>1.0585584</v>
      </c>
      <c r="P18" s="67">
        <f t="shared" si="2"/>
        <v>19.584</v>
      </c>
      <c r="Q18" s="67">
        <f>IFERROR('Base case- rivet bad gjenbruk'!$D18*'Base case- rivet bad gjenbruk'!$J18,0)</f>
        <v>0.72864</v>
      </c>
      <c r="R18" s="68">
        <f>'Base case- rivet bad gjenbruk'!$D18*'Base case- rivet bad gjenbruk'!$I18</f>
        <v>20.31264</v>
      </c>
      <c r="S18" s="68">
        <f>'Base case- rivet bad gjenbruk'!$K18*'Base case- rivet bad gjenbruk'!$D18</f>
        <v>6.3513504</v>
      </c>
      <c r="T18" s="71" t="s">
        <v>103</v>
      </c>
      <c r="U18" s="64" t="s">
        <v>73</v>
      </c>
    </row>
    <row r="19">
      <c r="A19" s="65" t="s">
        <v>104</v>
      </c>
      <c r="B19" s="64" t="s">
        <v>105</v>
      </c>
      <c r="C19" s="64">
        <v>4.8</v>
      </c>
      <c r="D19" s="59">
        <f>IF('Base case- rivet bad gjenbruk'!$E19="kg",'Base case- rivet bad gjenbruk'!$C19*$B$3,'Base case- rivet bad gjenbruk'!$C19)</f>
        <v>28.8</v>
      </c>
      <c r="E19" s="64" t="s">
        <v>71</v>
      </c>
      <c r="F19" s="64">
        <f t="array" ref="F19">IF('Base case- rivet bad gjenbruk'!$E19="kg",'Base case- rivet bad gjenbruk'!$C19,('Base case- rivet bad gjenbruk'!$C19*XLOOKUP('Base case- rivet bad gjenbruk'!$A19,'EPD data'!$A$4:$A$31,'EPD data'!$H$4:$H$31)))</f>
        <v>4.8</v>
      </c>
      <c r="G19" s="64">
        <f t="array" ref="G19">IF('Base case- rivet bad gjenbruk'!$E19="kg",'Base case- rivet bad gjenbruk'!$D19,('Base case- rivet bad gjenbruk'!$D19*XLOOKUP('Base case- rivet bad gjenbruk'!$A19,'EPD data'!$A$4:$A$31,'EPD data'!$H$4:$H$31)))</f>
        <v>28.8</v>
      </c>
      <c r="H19" s="66">
        <f t="array" ref="H19">IF('Base case- rivet bad gjenbruk'!$E19="kg",XLOOKUP(A19,'EPD data'!$A$4:$A$31,'EPD data'!$O$4:$O$31),XLOOKUP(A19,'EPD data'!$A$4:$A$31,'EPD data'!$J$4:$J$31))</f>
        <v>3.1</v>
      </c>
      <c r="I19" s="66">
        <f t="array" ref="I19">IF('Base case- rivet bad gjenbruk'!$E19="kg",XLOOKUP(A19,'EPD data'!$A$4:$A$31,'EPD data'!$Q$4:$Q$31),XLOOKUP('Base case- rivet bad gjenbruk'!$A19,'EPD data'!$A$4:$A$31,'EPD data'!$L$4:$L$31))</f>
        <v>3.344</v>
      </c>
      <c r="J19" s="60">
        <f t="array" ref="J19">IF('Base case- rivet bad gjenbruk'!$E19="kg",XLOOKUP('Base case- rivet bad gjenbruk'!$A19,'EPD data'!$A$4:$A$31,'EPD data'!$P$4:$P$31),XLOOKUP('Base case- rivet bad gjenbruk'!$A19,'EPD data'!$A$4:$A$31,'EPD data'!$K$4:$K$31))</f>
        <v>0.244</v>
      </c>
      <c r="K19" s="60">
        <f t="array" ref="K19">IF('Base case- rivet bad gjenbruk'!$E19="kg",XLOOKUP(A19,'EPD data'!$A$4:$A$31,'EPD data'!$R$4:$R$31),XLOOKUP('Base case- rivet bad gjenbruk'!$A19,'EPD data'!$A$4:$A$31,'EPD data'!$M$4:$M$31))</f>
        <v>3.03866</v>
      </c>
      <c r="L19" s="60">
        <f>'Base case- rivet bad gjenbruk'!$H19*'Base case- rivet bad gjenbruk'!$C19</f>
        <v>14.88</v>
      </c>
      <c r="M19" s="60">
        <f>'Base case- rivet bad gjenbruk'!$J19*'Base case- rivet bad gjenbruk'!$C19</f>
        <v>1.1712</v>
      </c>
      <c r="N19" s="66">
        <f>SUM('Base case- rivet bad gjenbruk'!$L19:$M19)</f>
        <v>16.0512</v>
      </c>
      <c r="O19" s="66">
        <f t="shared" si="1"/>
        <v>14.585568</v>
      </c>
      <c r="P19" s="67">
        <f t="shared" si="2"/>
        <v>89.28</v>
      </c>
      <c r="Q19" s="67">
        <f>IFERROR('Base case- rivet bad gjenbruk'!$D19*'Base case- rivet bad gjenbruk'!$J19,0)</f>
        <v>7.0272</v>
      </c>
      <c r="R19" s="68">
        <f>'Base case- rivet bad gjenbruk'!$D19*'Base case- rivet bad gjenbruk'!$I19</f>
        <v>96.3072</v>
      </c>
      <c r="S19" s="68">
        <f>'Base case- rivet bad gjenbruk'!$K19*'Base case- rivet bad gjenbruk'!$D19</f>
        <v>87.513408</v>
      </c>
      <c r="T19" s="63" t="s">
        <v>106</v>
      </c>
      <c r="U19" s="64" t="s">
        <v>73</v>
      </c>
    </row>
    <row r="20" ht="14.25" customHeight="1">
      <c r="A20" s="73" t="s">
        <v>107</v>
      </c>
      <c r="B20" s="74" t="s">
        <v>108</v>
      </c>
      <c r="C20" s="75" t="s">
        <v>109</v>
      </c>
      <c r="D20" s="59" t="str">
        <f>IF('Base case- rivet bad gjenbruk'!$E20="kg",'Base case- rivet bad gjenbruk'!$C20*$B$3,'Base case- rivet bad gjenbruk'!$C20)</f>
        <v>See below</v>
      </c>
      <c r="E20" s="74"/>
      <c r="F20" s="74"/>
      <c r="G20" s="74"/>
      <c r="H20" s="76"/>
      <c r="I20" s="76"/>
      <c r="J20" s="76"/>
      <c r="K20" s="76"/>
      <c r="L20" s="60"/>
      <c r="M20" s="60"/>
      <c r="N20" s="76">
        <f>SUM('Base case- rivet bad gjenbruk'!$L20:$M20)</f>
        <v>0</v>
      </c>
      <c r="O20" s="74"/>
      <c r="P20" s="74"/>
      <c r="Q20" s="77">
        <f>IFERROR('Base case- rivet bad gjenbruk'!$D20*'Base case- rivet bad gjenbruk'!$J20,0)</f>
        <v>0</v>
      </c>
      <c r="R20" s="74"/>
      <c r="S20" s="74"/>
      <c r="T20" s="78"/>
      <c r="U20" s="64" t="s">
        <v>73</v>
      </c>
    </row>
    <row r="21" ht="14.25" customHeight="1">
      <c r="A21" s="64" t="s">
        <v>110</v>
      </c>
      <c r="B21" s="64" t="s">
        <v>108</v>
      </c>
      <c r="C21" s="79">
        <f>IF(B3&lt;=12,4,IF(B3&lt;18,6,IF(B3&lt;=24,8,IF(B3&lt;=28,10,IF(B3&lt;=32,12,12)))))</f>
        <v>4</v>
      </c>
      <c r="D21" s="80">
        <f>IF('Base case- rivet bad gjenbruk'!$E21="kg",'Base case- rivet bad gjenbruk'!$C21*$B$3,'Base case- rivet bad gjenbruk'!$C21)</f>
        <v>4</v>
      </c>
      <c r="E21" s="79" t="s">
        <v>111</v>
      </c>
      <c r="F21" s="79">
        <f t="array" ref="F21">IF('Base case- rivet bad gjenbruk'!$E21="kg",'Base case- rivet bad gjenbruk'!$C21,('Base case- rivet bad gjenbruk'!$C21*XLOOKUP('Base case- rivet bad gjenbruk'!$A21,'EPD data'!$A$4:$A$31,'EPD data'!$H$4:$H$31)))</f>
        <v>5.48</v>
      </c>
      <c r="G21" s="79">
        <f t="array" ref="G21">IF('Base case- rivet bad gjenbruk'!$E21="kg",'Base case- rivet bad gjenbruk'!$D21,('Base case- rivet bad gjenbruk'!$D21*XLOOKUP('Base case- rivet bad gjenbruk'!$A21,'EPD data'!$A$4:$A$31,'EPD data'!$H$4:$H$31)))</f>
        <v>5.48</v>
      </c>
      <c r="H21" s="66">
        <f t="array" ref="H21">IF('Base case- rivet bad gjenbruk'!$E21="kg",XLOOKUP(A21,'EPD data'!$A$4:$A$31,'EPD data'!$O$4:$O$31),XLOOKUP(A21,'EPD data'!$A$4:$A$31,'EPD data'!$J$4:$J$31))</f>
        <v>21.421</v>
      </c>
      <c r="I21" s="66">
        <f t="array" ref="I21">IF('Base case- rivet bad gjenbruk'!$E21="kg",XLOOKUP(A21,'EPD data'!$A$4:$A$31,'EPD data'!$Q$4:$Q$31),XLOOKUP('Base case- rivet bad gjenbruk'!$A21,'EPD data'!$A$4:$A$31,'EPD data'!$L$4:$L$31))</f>
        <v>21.823</v>
      </c>
      <c r="J21" s="60">
        <f t="array" ref="J21">IF('Base case- rivet bad gjenbruk'!$E21="kg",XLOOKUP('Base case- rivet bad gjenbruk'!$A21,'EPD data'!$A$4:$A$31,'EPD data'!$P$4:$P$31),XLOOKUP('Base case- rivet bad gjenbruk'!$A21,'EPD data'!$A$4:$A$31,'EPD data'!$K$4:$K$31))</f>
        <v>0.402</v>
      </c>
      <c r="K21" s="60">
        <f t="array" ref="K21">IF('Base case- rivet bad gjenbruk'!$E21="kg",XLOOKUP(A21,'EPD data'!$A$4:$A$31,'EPD data'!$R$4:$R$31),XLOOKUP('Base case- rivet bad gjenbruk'!$A21,'EPD data'!$A$4:$A$31,'EPD data'!$M$4:$M$31))</f>
        <v>0.4476</v>
      </c>
      <c r="L21" s="60">
        <f>'Base case- rivet bad gjenbruk'!$H21*'Base case- rivet bad gjenbruk'!$C21</f>
        <v>85.684</v>
      </c>
      <c r="M21" s="60">
        <f>'Base case- rivet bad gjenbruk'!$J21*'Base case- rivet bad gjenbruk'!$C21</f>
        <v>1.608</v>
      </c>
      <c r="N21" s="66">
        <f>SUM('Base case- rivet bad gjenbruk'!$L21:$M21)</f>
        <v>87.292</v>
      </c>
      <c r="O21" s="66">
        <f t="shared" ref="O21:O30" si="3">IFERROR(K21*C21,0)</f>
        <v>1.7904</v>
      </c>
      <c r="P21" s="67">
        <f t="shared" ref="P21:P30" si="4">IFERROR(H21*$D21,0)</f>
        <v>85.684</v>
      </c>
      <c r="Q21" s="67">
        <f>IFERROR('Base case- rivet bad gjenbruk'!$D21*'Base case- rivet bad gjenbruk'!$J21,0)</f>
        <v>1.608</v>
      </c>
      <c r="R21" s="68">
        <f>'Base case- rivet bad gjenbruk'!$D21*'Base case- rivet bad gjenbruk'!$I21</f>
        <v>87.292</v>
      </c>
      <c r="S21" s="68">
        <f>'Base case- rivet bad gjenbruk'!$K21*'Base case- rivet bad gjenbruk'!$D21</f>
        <v>1.7904</v>
      </c>
      <c r="T21" s="63" t="s">
        <v>112</v>
      </c>
      <c r="U21" s="64" t="s">
        <v>113</v>
      </c>
    </row>
    <row r="22" ht="14.25" customHeight="1">
      <c r="A22" s="64" t="s">
        <v>114</v>
      </c>
      <c r="B22" s="64" t="s">
        <v>108</v>
      </c>
      <c r="C22" s="74">
        <v>4.0</v>
      </c>
      <c r="D22" s="80">
        <f>IF('Base case- rivet bad gjenbruk'!$E22="kg",'Base case- rivet bad gjenbruk'!$C22*$B$3,'Base case- rivet bad gjenbruk'!$C22)</f>
        <v>4</v>
      </c>
      <c r="E22" s="74" t="s">
        <v>111</v>
      </c>
      <c r="F22" s="74">
        <f t="array" ref="F22">IF('Base case- rivet bad gjenbruk'!$E22="kg",'Base case- rivet bad gjenbruk'!$C22,('Base case- rivet bad gjenbruk'!$C22*XLOOKUP('Base case- rivet bad gjenbruk'!$A22,'EPD data'!$A$4:$A$31,'EPD data'!$H$4:$H$31)))</f>
        <v>0.484</v>
      </c>
      <c r="G22" s="74">
        <f t="array" ref="G22">IF('Base case- rivet bad gjenbruk'!$E22="kg",'Base case- rivet bad gjenbruk'!$D22,('Base case- rivet bad gjenbruk'!$D22*XLOOKUP('Base case- rivet bad gjenbruk'!$A22,'EPD data'!$A$4:$A$31,'EPD data'!$H$4:$H$31)))</f>
        <v>0.484</v>
      </c>
      <c r="H22" s="66">
        <f t="array" ref="H22">IF('Base case- rivet bad gjenbruk'!$E22="kg",XLOOKUP(A22,'EPD data'!$A$4:$A$31,'EPD data'!$O$4:$O$31),XLOOKUP(A22,'EPD data'!$A$4:$A$31,'EPD data'!$J$4:$J$31))</f>
        <v>0.575</v>
      </c>
      <c r="I22" s="66">
        <f t="array" ref="I22">IF('Base case- rivet bad gjenbruk'!$E22="kg",XLOOKUP(A22,'EPD data'!$A$4:$A$31,'EPD data'!$Q$4:$Q$31),XLOOKUP('Base case- rivet bad gjenbruk'!$A22,'EPD data'!$A$4:$A$31,'EPD data'!$L$4:$L$31))</f>
        <v>0.5906</v>
      </c>
      <c r="J22" s="60">
        <f t="array" ref="J22">IF('Base case- rivet bad gjenbruk'!$E22="kg",XLOOKUP('Base case- rivet bad gjenbruk'!$A22,'EPD data'!$A$4:$A$31,'EPD data'!$P$4:$P$31),XLOOKUP('Base case- rivet bad gjenbruk'!$A22,'EPD data'!$A$4:$A$31,'EPD data'!$K$4:$K$31))</f>
        <v>0.0156</v>
      </c>
      <c r="K22" s="60">
        <f t="array" ref="K22">IF('Base case- rivet bad gjenbruk'!$E22="kg",XLOOKUP(A22,'EPD data'!$A$4:$A$31,'EPD data'!$R$4:$R$31),XLOOKUP('Base case- rivet bad gjenbruk'!$A22,'EPD data'!$A$4:$A$31,'EPD data'!$M$4:$M$31))</f>
        <v>0.0213</v>
      </c>
      <c r="L22" s="60">
        <f>'Base case- rivet bad gjenbruk'!$H22*'Base case- rivet bad gjenbruk'!$C22</f>
        <v>2.3</v>
      </c>
      <c r="M22" s="60">
        <f>'Base case- rivet bad gjenbruk'!$J22*'Base case- rivet bad gjenbruk'!$C22</f>
        <v>0.0624</v>
      </c>
      <c r="N22" s="66">
        <f>SUM('Base case- rivet bad gjenbruk'!$L22:$M22)</f>
        <v>2.3624</v>
      </c>
      <c r="O22" s="66">
        <f t="shared" si="3"/>
        <v>0.0852</v>
      </c>
      <c r="P22" s="67">
        <f t="shared" si="4"/>
        <v>2.3</v>
      </c>
      <c r="Q22" s="67">
        <f>IFERROR('Base case- rivet bad gjenbruk'!$D22*'Base case- rivet bad gjenbruk'!$J22,0)</f>
        <v>0.0624</v>
      </c>
      <c r="R22" s="68">
        <f>'Base case- rivet bad gjenbruk'!$D22*'Base case- rivet bad gjenbruk'!$I22</f>
        <v>2.3624</v>
      </c>
      <c r="S22" s="68">
        <f>'Base case- rivet bad gjenbruk'!$K22*'Base case- rivet bad gjenbruk'!$D22</f>
        <v>0.0852</v>
      </c>
      <c r="T22" s="63" t="s">
        <v>115</v>
      </c>
      <c r="U22" s="64" t="s">
        <v>113</v>
      </c>
    </row>
    <row r="23" ht="14.25" customHeight="1">
      <c r="A23" s="64" t="s">
        <v>116</v>
      </c>
      <c r="B23" s="64" t="s">
        <v>108</v>
      </c>
      <c r="C23" s="74">
        <v>1.0</v>
      </c>
      <c r="D23" s="80">
        <f>IF('Base case- rivet bad gjenbruk'!$E23="kg",'Base case- rivet bad gjenbruk'!$C23*$B$3,'Base case- rivet bad gjenbruk'!$C23)</f>
        <v>1</v>
      </c>
      <c r="E23" s="74" t="s">
        <v>111</v>
      </c>
      <c r="F23" s="74">
        <f t="array" ref="F23">IF('Base case- rivet bad gjenbruk'!$E23="kg",'Base case- rivet bad gjenbruk'!$C23,('Base case- rivet bad gjenbruk'!$C23*XLOOKUP('Base case- rivet bad gjenbruk'!$A23,'EPD data'!$A$4:$A$31,'EPD data'!$H$4:$H$31)))</f>
        <v>2.39</v>
      </c>
      <c r="G23" s="74">
        <f t="array" ref="G23">IF('Base case- rivet bad gjenbruk'!$E23="kg",'Base case- rivet bad gjenbruk'!$D23,('Base case- rivet bad gjenbruk'!$D23*XLOOKUP('Base case- rivet bad gjenbruk'!$A23,'EPD data'!$A$4:$A$31,'EPD data'!$H$4:$H$31)))</f>
        <v>2.39</v>
      </c>
      <c r="H23" s="66">
        <f t="array" ref="H23">IF('Base case- rivet bad gjenbruk'!$E23="kg",XLOOKUP(A23,'EPD data'!$A$4:$A$31,'EPD data'!$O$4:$O$31),XLOOKUP(A23,'EPD data'!$A$4:$A$31,'EPD data'!$J$4:$J$31))</f>
        <v>5.62</v>
      </c>
      <c r="I23" s="66">
        <f t="array" ref="I23">IF('Base case- rivet bad gjenbruk'!$E23="kg",XLOOKUP(A23,'EPD data'!$A$4:$A$31,'EPD data'!$Q$4:$Q$31),XLOOKUP('Base case- rivet bad gjenbruk'!$A23,'EPD data'!$A$4:$A$31,'EPD data'!$L$4:$L$31))</f>
        <v>5.811</v>
      </c>
      <c r="J23" s="60">
        <f t="array" ref="J23">IF('Base case- rivet bad gjenbruk'!$E23="kg",XLOOKUP('Base case- rivet bad gjenbruk'!$A23,'EPD data'!$A$4:$A$31,'EPD data'!$P$4:$P$31),XLOOKUP('Base case- rivet bad gjenbruk'!$A23,'EPD data'!$A$4:$A$31,'EPD data'!$K$4:$K$31))</f>
        <v>0.191</v>
      </c>
      <c r="K23" s="60">
        <f t="array" ref="K23">IF('Base case- rivet bad gjenbruk'!$E23="kg",XLOOKUP(A23,'EPD data'!$A$4:$A$31,'EPD data'!$R$4:$R$31),XLOOKUP('Base case- rivet bad gjenbruk'!$A23,'EPD data'!$A$4:$A$31,'EPD data'!$M$4:$M$31))</f>
        <v>0.48955</v>
      </c>
      <c r="L23" s="60">
        <f>'Base case- rivet bad gjenbruk'!$H23*'Base case- rivet bad gjenbruk'!$C23</f>
        <v>5.62</v>
      </c>
      <c r="M23" s="60">
        <f>'Base case- rivet bad gjenbruk'!$J23*'Base case- rivet bad gjenbruk'!$C23</f>
        <v>0.191</v>
      </c>
      <c r="N23" s="66">
        <f>SUM('Base case- rivet bad gjenbruk'!$L23:$M23)</f>
        <v>5.811</v>
      </c>
      <c r="O23" s="66">
        <f t="shared" si="3"/>
        <v>0.48955</v>
      </c>
      <c r="P23" s="67">
        <f t="shared" si="4"/>
        <v>5.62</v>
      </c>
      <c r="Q23" s="67">
        <f>IFERROR('Base case- rivet bad gjenbruk'!$D23*'Base case- rivet bad gjenbruk'!$J23,0)</f>
        <v>0.191</v>
      </c>
      <c r="R23" s="68">
        <f>'Base case- rivet bad gjenbruk'!$D23*'Base case- rivet bad gjenbruk'!$I23</f>
        <v>5.811</v>
      </c>
      <c r="S23" s="68">
        <f>'Base case- rivet bad gjenbruk'!$K23*'Base case- rivet bad gjenbruk'!$D23</f>
        <v>0.48955</v>
      </c>
      <c r="T23" s="63" t="s">
        <v>117</v>
      </c>
      <c r="U23" s="64" t="s">
        <v>113</v>
      </c>
    </row>
    <row r="24" ht="14.25" customHeight="1">
      <c r="A24" s="64" t="s">
        <v>118</v>
      </c>
      <c r="B24" s="64" t="s">
        <v>108</v>
      </c>
      <c r="C24" s="64">
        <v>1.0</v>
      </c>
      <c r="D24" s="59">
        <f>IF('Base case- rivet bad gjenbruk'!$E24="kg",'Base case- rivet bad gjenbruk'!$C24*$B$3,'Base case- rivet bad gjenbruk'!$C24)</f>
        <v>6</v>
      </c>
      <c r="E24" s="64" t="s">
        <v>71</v>
      </c>
      <c r="F24" s="64">
        <f t="array" ref="F24">IF('Base case- rivet bad gjenbruk'!$E24="kg",'Base case- rivet bad gjenbruk'!$C24,('Base case- rivet bad gjenbruk'!$C24*XLOOKUP('Base case- rivet bad gjenbruk'!$A24,'EPD data'!$A$4:$A$31,'EPD data'!$H$4:$H$31)))</f>
        <v>1</v>
      </c>
      <c r="G24" s="64">
        <f t="array" ref="G24">IF('Base case- rivet bad gjenbruk'!$E24="kg",'Base case- rivet bad gjenbruk'!$D24,('Base case- rivet bad gjenbruk'!$D24*XLOOKUP('Base case- rivet bad gjenbruk'!$A24,'EPD data'!$A$4:$A$31,'EPD data'!$H$4:$H$31)))</f>
        <v>6</v>
      </c>
      <c r="H24" s="66">
        <f t="array" ref="H24">IF('Base case- rivet bad gjenbruk'!$E24="kg",XLOOKUP(A24,'EPD data'!$A$4:$A$31,'EPD data'!$O$4:$O$31),XLOOKUP(A24,'EPD data'!$A$4:$A$31,'EPD data'!$J$4:$J$31))</f>
        <v>4.1337</v>
      </c>
      <c r="I24" s="66">
        <f t="array" ref="I24">IF('Base case- rivet bad gjenbruk'!$E24="kg",XLOOKUP(A24,'EPD data'!$A$4:$A$31,'EPD data'!$Q$4:$Q$31),XLOOKUP('Base case- rivet bad gjenbruk'!$A24,'EPD data'!$A$4:$A$31,'EPD data'!$L$4:$L$31))</f>
        <v>4.3767</v>
      </c>
      <c r="J24" s="60">
        <f t="array" ref="J24">IF('Base case- rivet bad gjenbruk'!$E24="kg",XLOOKUP('Base case- rivet bad gjenbruk'!$A24,'EPD data'!$A$4:$A$31,'EPD data'!$P$4:$P$31),XLOOKUP('Base case- rivet bad gjenbruk'!$A24,'EPD data'!$A$4:$A$31,'EPD data'!$K$4:$K$31))</f>
        <v>0.243</v>
      </c>
      <c r="K24" s="60">
        <f t="array" ref="K24">IF('Base case- rivet bad gjenbruk'!$E24="kg",XLOOKUP(A24,'EPD data'!$A$4:$A$31,'EPD data'!$R$4:$R$31),XLOOKUP('Base case- rivet bad gjenbruk'!$A24,'EPD data'!$A$4:$A$31,'EPD data'!$M$4:$M$31))</f>
        <v>3.04062</v>
      </c>
      <c r="L24" s="60">
        <f>'Base case- rivet bad gjenbruk'!$H24*'Base case- rivet bad gjenbruk'!$C24</f>
        <v>4.1337</v>
      </c>
      <c r="M24" s="60">
        <f>'Base case- rivet bad gjenbruk'!$J24*'Base case- rivet bad gjenbruk'!$C24</f>
        <v>0.243</v>
      </c>
      <c r="N24" s="66">
        <f>SUM('Base case- rivet bad gjenbruk'!$L24:$M24)</f>
        <v>4.3767</v>
      </c>
      <c r="O24" s="66">
        <f t="shared" si="3"/>
        <v>3.04062</v>
      </c>
      <c r="P24" s="67">
        <f t="shared" si="4"/>
        <v>24.8022</v>
      </c>
      <c r="Q24" s="67">
        <f>IFERROR('Base case- rivet bad gjenbruk'!$D24*'Base case- rivet bad gjenbruk'!$J24,0)</f>
        <v>1.458</v>
      </c>
      <c r="R24" s="68">
        <f>'Base case- rivet bad gjenbruk'!$D24*'Base case- rivet bad gjenbruk'!$I24</f>
        <v>26.2602</v>
      </c>
      <c r="S24" s="68">
        <f>'Base case- rivet bad gjenbruk'!$K24*'Base case- rivet bad gjenbruk'!$D24</f>
        <v>18.24372</v>
      </c>
      <c r="T24" s="63" t="s">
        <v>119</v>
      </c>
      <c r="U24" s="64" t="s">
        <v>113</v>
      </c>
    </row>
    <row r="25" ht="15.75" customHeight="1">
      <c r="A25" s="65" t="s">
        <v>120</v>
      </c>
      <c r="B25" s="64" t="s">
        <v>121</v>
      </c>
      <c r="C25" s="64">
        <v>0.6</v>
      </c>
      <c r="D25" s="59">
        <f>IF('Base case- rivet bad gjenbruk'!$E25="kg",'Base case- rivet bad gjenbruk'!$C25*$B$3,'Base case- rivet bad gjenbruk'!$C25)</f>
        <v>3.6</v>
      </c>
      <c r="E25" s="64" t="s">
        <v>71</v>
      </c>
      <c r="F25" s="64">
        <f t="array" ref="F25">IF('Base case- rivet bad gjenbruk'!$E25="kg",'Base case- rivet bad gjenbruk'!$C25,('Base case- rivet bad gjenbruk'!$C25*XLOOKUP('Base case- rivet bad gjenbruk'!$A25,'EPD data'!$A$4:$A$31,'EPD data'!$H$4:$H$31)))</f>
        <v>0.6</v>
      </c>
      <c r="G25" s="64">
        <f t="array" ref="G25">IF('Base case- rivet bad gjenbruk'!$E25="kg",'Base case- rivet bad gjenbruk'!$D25,('Base case- rivet bad gjenbruk'!$D25*XLOOKUP('Base case- rivet bad gjenbruk'!$A25,'EPD data'!$A$4:$A$31,'EPD data'!$H$4:$H$31)))</f>
        <v>3.6</v>
      </c>
      <c r="H25" s="66">
        <f t="array" ref="H25">IF('Base case- rivet bad gjenbruk'!$E25="kg",XLOOKUP(A25,'EPD data'!$A$4:$A$31,'EPD data'!$O$4:$O$31),XLOOKUP(A25,'EPD data'!$A$4:$A$31,'EPD data'!$J$4:$J$31))</f>
        <v>3.5354</v>
      </c>
      <c r="I25" s="66">
        <f t="array" ref="I25">IF('Base case- rivet bad gjenbruk'!$E25="kg",XLOOKUP(A25,'EPD data'!$A$4:$A$31,'EPD data'!$Q$4:$Q$31),XLOOKUP('Base case- rivet bad gjenbruk'!$A25,'EPD data'!$A$4:$A$31,'EPD data'!$L$4:$L$31))</f>
        <v>3.5732</v>
      </c>
      <c r="J25" s="60">
        <f t="array" ref="J25">IF('Base case- rivet bad gjenbruk'!$E25="kg",XLOOKUP('Base case- rivet bad gjenbruk'!$A25,'EPD data'!$A$4:$A$31,'EPD data'!$P$4:$P$31),XLOOKUP('Base case- rivet bad gjenbruk'!$A25,'EPD data'!$A$4:$A$31,'EPD data'!$K$4:$K$31))</f>
        <v>0.0378</v>
      </c>
      <c r="K25" s="60">
        <f t="array" ref="K25">IF('Base case- rivet bad gjenbruk'!$E25="kg",XLOOKUP(A25,'EPD data'!$A$4:$A$31,'EPD data'!$R$4:$R$31),XLOOKUP('Base case- rivet bad gjenbruk'!$A25,'EPD data'!$A$4:$A$31,'EPD data'!$M$4:$M$31))</f>
        <v>0.01252</v>
      </c>
      <c r="L25" s="60">
        <f>'Base case- rivet bad gjenbruk'!$H25*'Base case- rivet bad gjenbruk'!$C25</f>
        <v>2.12124</v>
      </c>
      <c r="M25" s="60">
        <f>'Base case- rivet bad gjenbruk'!$J25*'Base case- rivet bad gjenbruk'!$C25</f>
        <v>0.02268</v>
      </c>
      <c r="N25" s="66">
        <f>SUM('Base case- rivet bad gjenbruk'!$L25:$M25)</f>
        <v>2.14392</v>
      </c>
      <c r="O25" s="66">
        <f t="shared" si="3"/>
        <v>0.007512</v>
      </c>
      <c r="P25" s="67">
        <f t="shared" si="4"/>
        <v>12.72744</v>
      </c>
      <c r="Q25" s="67">
        <f>IFERROR('Base case- rivet bad gjenbruk'!$D25*'Base case- rivet bad gjenbruk'!$J25,0)</f>
        <v>0.13608</v>
      </c>
      <c r="R25" s="68">
        <f>'Base case- rivet bad gjenbruk'!$D25*'Base case- rivet bad gjenbruk'!$I25</f>
        <v>12.86352</v>
      </c>
      <c r="S25" s="68">
        <f>'Base case- rivet bad gjenbruk'!$K25*'Base case- rivet bad gjenbruk'!$D25</f>
        <v>0.045072</v>
      </c>
      <c r="T25" s="63" t="s">
        <v>120</v>
      </c>
      <c r="U25" s="64" t="s">
        <v>73</v>
      </c>
    </row>
    <row r="26" ht="15.75" customHeight="1">
      <c r="A26" s="65" t="s">
        <v>122</v>
      </c>
      <c r="B26" s="64"/>
      <c r="C26" s="64">
        <v>0.2</v>
      </c>
      <c r="D26" s="59">
        <f>IF('Base case- rivet bad gjenbruk'!$E26="kg",'Base case- rivet bad gjenbruk'!$C26*$B$3,'Base case- rivet bad gjenbruk'!$C26)</f>
        <v>1.2</v>
      </c>
      <c r="E26" s="64" t="s">
        <v>71</v>
      </c>
      <c r="F26" s="64">
        <f t="array" ref="F26">IF('Base case- rivet bad gjenbruk'!$E26="kg",'Base case- rivet bad gjenbruk'!$C26,('Base case- rivet bad gjenbruk'!$C26*XLOOKUP('Base case- rivet bad gjenbruk'!$A26,'EPD data'!$A$4:$A$31,'EPD data'!$H$4:$H$31)))</f>
        <v>0.2</v>
      </c>
      <c r="G26" s="64">
        <f t="array" ref="G26">IF('Base case- rivet bad gjenbruk'!$E26="kg",'Base case- rivet bad gjenbruk'!$D26,('Base case- rivet bad gjenbruk'!$D26*XLOOKUP('Base case- rivet bad gjenbruk'!$A26,'EPD data'!$A$4:$A$31,'EPD data'!$H$4:$H$31)))</f>
        <v>1.2</v>
      </c>
      <c r="H26" s="66">
        <f t="array" ref="H26">IF('Base case- rivet bad gjenbruk'!$E26="kg",XLOOKUP(A26,'EPD data'!$A$4:$A$31,'EPD data'!$O$4:$O$31),XLOOKUP(A26,'EPD data'!$A$4:$A$31,'EPD data'!$J$4:$J$31))</f>
        <v>5.36</v>
      </c>
      <c r="I26" s="66">
        <f t="array" ref="I26">IF('Base case- rivet bad gjenbruk'!$E26="kg",XLOOKUP(A26,'EPD data'!$A$4:$A$31,'EPD data'!$Q$4:$Q$31),XLOOKUP('Base case- rivet bad gjenbruk'!$A26,'EPD data'!$A$4:$A$31,'EPD data'!$L$4:$L$31))</f>
        <v>5.4181</v>
      </c>
      <c r="J26" s="60">
        <f t="array" ref="J26">IF('Base case- rivet bad gjenbruk'!$E26="kg",XLOOKUP('Base case- rivet bad gjenbruk'!$A26,'EPD data'!$A$4:$A$31,'EPD data'!$P$4:$P$31),XLOOKUP('Base case- rivet bad gjenbruk'!$A26,'EPD data'!$A$4:$A$31,'EPD data'!$K$4:$K$31))</f>
        <v>0.0581</v>
      </c>
      <c r="K26" s="60">
        <f t="array" ref="K26">IF('Base case- rivet bad gjenbruk'!$E26="kg",XLOOKUP(A26,'EPD data'!$A$4:$A$31,'EPD data'!$R$4:$R$31),XLOOKUP('Base case- rivet bad gjenbruk'!$A26,'EPD data'!$A$4:$A$31,'EPD data'!$M$4:$M$31))</f>
        <v>0.441066</v>
      </c>
      <c r="L26" s="60">
        <f>'Base case- rivet bad gjenbruk'!$H26*'Base case- rivet bad gjenbruk'!$C26</f>
        <v>1.072</v>
      </c>
      <c r="M26" s="60">
        <f>'Base case- rivet bad gjenbruk'!$J26*'Base case- rivet bad gjenbruk'!$C26</f>
        <v>0.01162</v>
      </c>
      <c r="N26" s="66">
        <f>SUM('Base case- rivet bad gjenbruk'!$L26:$M26)</f>
        <v>1.08362</v>
      </c>
      <c r="O26" s="66">
        <f t="shared" si="3"/>
        <v>0.0882132</v>
      </c>
      <c r="P26" s="67">
        <f t="shared" si="4"/>
        <v>6.432</v>
      </c>
      <c r="Q26" s="67">
        <f>IFERROR('Base case- rivet bad gjenbruk'!$D26*'Base case- rivet bad gjenbruk'!$J26,0)</f>
        <v>0.06972</v>
      </c>
      <c r="R26" s="68">
        <f>'Base case- rivet bad gjenbruk'!$D26*'Base case- rivet bad gjenbruk'!$I26</f>
        <v>6.50172</v>
      </c>
      <c r="S26" s="68">
        <f>'Base case- rivet bad gjenbruk'!$K26*'Base case- rivet bad gjenbruk'!$D26</f>
        <v>0.5292792</v>
      </c>
      <c r="T26" s="63" t="s">
        <v>123</v>
      </c>
      <c r="U26" s="64" t="s">
        <v>73</v>
      </c>
    </row>
    <row r="27" ht="15.75" customHeight="1">
      <c r="A27" s="65" t="s">
        <v>124</v>
      </c>
      <c r="B27" s="64"/>
      <c r="C27" s="70">
        <v>100.0</v>
      </c>
      <c r="D27" s="59">
        <f>IF('Base case- rivet bad gjenbruk'!$E27="kg",'Base case- rivet bad gjenbruk'!$C27*$B$3,'Base case- rivet bad gjenbruk'!$C27)</f>
        <v>600</v>
      </c>
      <c r="E27" s="64" t="s">
        <v>71</v>
      </c>
      <c r="F27" s="64">
        <f t="array" ref="F27">IF('Base case- rivet bad gjenbruk'!$E27="kg",'Base case- rivet bad gjenbruk'!$C27,('Base case- rivet bad gjenbruk'!$C27*XLOOKUP('Base case- rivet bad gjenbruk'!$A27,'EPD data'!$A$4:$A$31,'EPD data'!$H$4:$H$31)))</f>
        <v>100</v>
      </c>
      <c r="G27" s="64">
        <f t="array" ref="G27">IF('Base case- rivet bad gjenbruk'!$E27="kg",'Base case- rivet bad gjenbruk'!$D27,('Base case- rivet bad gjenbruk'!$D27*XLOOKUP('Base case- rivet bad gjenbruk'!$A27,'EPD data'!$A$4:$A$31,'EPD data'!$H$4:$H$31)))</f>
        <v>600</v>
      </c>
      <c r="H27" s="66">
        <f t="array" ref="H27">IF('Base case- rivet bad gjenbruk'!$E27="kg",XLOOKUP(A27,'EPD data'!$A$4:$A$31,'EPD data'!$O$4:$O$31),XLOOKUP(A27,'EPD data'!$A$4:$A$31,'EPD data'!$J$4:$J$31))</f>
        <v>0.5247634947</v>
      </c>
      <c r="I27" s="66">
        <f t="array" ref="I27">IF('Base case- rivet bad gjenbruk'!$E27="kg",XLOOKUP(A27,'EPD data'!$A$4:$A$31,'EPD data'!$Q$4:$Q$31),XLOOKUP('Base case- rivet bad gjenbruk'!$A27,'EPD data'!$A$4:$A$31,'EPD data'!$L$4:$L$31))</f>
        <v>0.5430717863</v>
      </c>
      <c r="J27" s="60">
        <f t="array" ref="J27">IF('Base case- rivet bad gjenbruk'!$E27="kg",XLOOKUP('Base case- rivet bad gjenbruk'!$A27,'EPD data'!$A$4:$A$31,'EPD data'!$P$4:$P$31),XLOOKUP('Base case- rivet bad gjenbruk'!$A27,'EPD data'!$A$4:$A$31,'EPD data'!$K$4:$K$31))</f>
        <v>0.0183082916</v>
      </c>
      <c r="K27" s="60">
        <f t="array" ref="K27">IF('Base case- rivet bad gjenbruk'!$E27="kg",XLOOKUP(A27,'EPD data'!$A$4:$A$31,'EPD data'!$R$4:$R$31),XLOOKUP('Base case- rivet bad gjenbruk'!$A27,'EPD data'!$A$4:$A$31,'EPD data'!$M$4:$M$31))</f>
        <v>0.004707846411</v>
      </c>
      <c r="L27" s="60">
        <f>'Base case- rivet bad gjenbruk'!$H27*'Base case- rivet bad gjenbruk'!$C27</f>
        <v>52.47634947</v>
      </c>
      <c r="M27" s="60">
        <f>'Base case- rivet bad gjenbruk'!$J27*'Base case- rivet bad gjenbruk'!$C27</f>
        <v>1.83082916</v>
      </c>
      <c r="N27" s="66">
        <f>SUM('Base case- rivet bad gjenbruk'!$L27:$M27)</f>
        <v>54.30717863</v>
      </c>
      <c r="O27" s="66">
        <f t="shared" si="3"/>
        <v>0.4707846411</v>
      </c>
      <c r="P27" s="67">
        <f t="shared" si="4"/>
        <v>314.8580968</v>
      </c>
      <c r="Q27" s="67">
        <f>IFERROR('Base case- rivet bad gjenbruk'!$D27*'Base case- rivet bad gjenbruk'!$J27,0)</f>
        <v>10.98497496</v>
      </c>
      <c r="R27" s="68">
        <f>'Base case- rivet bad gjenbruk'!$D27*'Base case- rivet bad gjenbruk'!$I27</f>
        <v>325.8430718</v>
      </c>
      <c r="S27" s="68">
        <f>'Base case- rivet bad gjenbruk'!$K27*'Base case- rivet bad gjenbruk'!$D27</f>
        <v>2.824707846</v>
      </c>
      <c r="T27" s="63" t="s">
        <v>125</v>
      </c>
      <c r="U27" s="64" t="s">
        <v>73</v>
      </c>
    </row>
    <row r="28" ht="15.75" customHeight="1">
      <c r="A28" s="81" t="s">
        <v>126</v>
      </c>
      <c r="B28" s="82"/>
      <c r="C28" s="64">
        <v>4.0</v>
      </c>
      <c r="D28" s="59">
        <f>IF('Base case- rivet bad gjenbruk'!$E28="kg",'Base case- rivet bad gjenbruk'!$C28*$B$3,'Base case- rivet bad gjenbruk'!$C28)</f>
        <v>24</v>
      </c>
      <c r="E28" s="64" t="s">
        <v>71</v>
      </c>
      <c r="F28" s="64">
        <f t="array" ref="F28">IF('Base case- rivet bad gjenbruk'!$E28="kg",'Base case- rivet bad gjenbruk'!$C28,('Base case- rivet bad gjenbruk'!$C28*XLOOKUP('Base case- rivet bad gjenbruk'!$A28,'EPD data'!$A$4:$A$31,'EPD data'!$H$4:$H$31)))</f>
        <v>4</v>
      </c>
      <c r="G28" s="64">
        <f t="array" ref="G28">IF('Base case- rivet bad gjenbruk'!$E28="kg",'Base case- rivet bad gjenbruk'!$D28,('Base case- rivet bad gjenbruk'!$D28*XLOOKUP('Base case- rivet bad gjenbruk'!$A28,'EPD data'!$A$4:$A$31,'EPD data'!$H$4:$H$31)))</f>
        <v>24</v>
      </c>
      <c r="H28" s="66">
        <f t="array" ref="H28">IF('Base case- rivet bad gjenbruk'!$E28="kg",XLOOKUP(A28,'EPD data'!$A$4:$A$31,'EPD data'!$O$4:$O$31),XLOOKUP(A28,'EPD data'!$A$4:$A$31,'EPD data'!$J$4:$J$31))</f>
        <v>0.39137</v>
      </c>
      <c r="I28" s="66">
        <f t="array" ref="I28">IF('Base case- rivet bad gjenbruk'!$E28="kg",XLOOKUP(A28,'EPD data'!$A$4:$A$31,'EPD data'!$Q$4:$Q$31),XLOOKUP('Base case- rivet bad gjenbruk'!$A28,'EPD data'!$A$4:$A$31,'EPD data'!$L$4:$L$31))</f>
        <v>0.41757</v>
      </c>
      <c r="J28" s="60">
        <f t="array" ref="J28">IF('Base case- rivet bad gjenbruk'!$E28="kg",XLOOKUP('Base case- rivet bad gjenbruk'!$A28,'EPD data'!$A$4:$A$31,'EPD data'!$P$4:$P$31),XLOOKUP('Base case- rivet bad gjenbruk'!$A28,'EPD data'!$A$4:$A$31,'EPD data'!$K$4:$K$31))</f>
        <v>0.0262</v>
      </c>
      <c r="K28" s="60">
        <f t="array" ref="K28">IF('Base case- rivet bad gjenbruk'!$E28="kg",XLOOKUP(A28,'EPD data'!$A$4:$A$31,'EPD data'!$R$4:$R$31),XLOOKUP('Base case- rivet bad gjenbruk'!$A28,'EPD data'!$A$4:$A$31,'EPD data'!$M$4:$M$31))</f>
        <v>0</v>
      </c>
      <c r="L28" s="60">
        <f>'Base case- rivet bad gjenbruk'!$H28*'Base case- rivet bad gjenbruk'!$C28</f>
        <v>1.56548</v>
      </c>
      <c r="M28" s="60">
        <f>'Base case- rivet bad gjenbruk'!$J28*'Base case- rivet bad gjenbruk'!$C28</f>
        <v>0.1048</v>
      </c>
      <c r="N28" s="66">
        <f>SUM('Base case- rivet bad gjenbruk'!$L28:$M28)</f>
        <v>1.67028</v>
      </c>
      <c r="O28" s="66">
        <f t="shared" si="3"/>
        <v>0</v>
      </c>
      <c r="P28" s="67">
        <f t="shared" si="4"/>
        <v>9.39288</v>
      </c>
      <c r="Q28" s="67">
        <f>IFERROR('Base case- rivet bad gjenbruk'!$D28*'Base case- rivet bad gjenbruk'!$J28,0)</f>
        <v>0.6288</v>
      </c>
      <c r="R28" s="68">
        <f>'Base case- rivet bad gjenbruk'!$D28*'Base case- rivet bad gjenbruk'!$I28</f>
        <v>10.02168</v>
      </c>
      <c r="S28" s="68">
        <f>'Base case- rivet bad gjenbruk'!$K28*'Base case- rivet bad gjenbruk'!$D28</f>
        <v>0</v>
      </c>
      <c r="T28" s="63" t="s">
        <v>127</v>
      </c>
      <c r="U28" s="64" t="s">
        <v>73</v>
      </c>
    </row>
    <row r="29" ht="15.75" customHeight="1">
      <c r="A29" s="64" t="s">
        <v>128</v>
      </c>
      <c r="B29" s="64" t="s">
        <v>129</v>
      </c>
      <c r="C29" s="83">
        <v>1.0</v>
      </c>
      <c r="D29" s="59">
        <f>IF('Base case- rivet bad gjenbruk'!$E29="kg",'Base case- rivet bad gjenbruk'!$C29*$B$3,'Base case- rivet bad gjenbruk'!$C29)</f>
        <v>1</v>
      </c>
      <c r="E29" s="74" t="s">
        <v>111</v>
      </c>
      <c r="F29" s="74">
        <f t="array" ref="F29">IF('Base case- rivet bad gjenbruk'!$E29="kg",'Base case- rivet bad gjenbruk'!$C29,('Base case- rivet bad gjenbruk'!$C29*XLOOKUP('Base case- rivet bad gjenbruk'!$A29,'EPD data'!$A$4:$A$31,'EPD data'!$H$4:$H$31)))</f>
        <v>0.94</v>
      </c>
      <c r="G29" s="74">
        <f t="array" ref="G29">IF('Base case- rivet bad gjenbruk'!$E29="kg",'Base case- rivet bad gjenbruk'!$D29,('Base case- rivet bad gjenbruk'!$D29*XLOOKUP('Base case- rivet bad gjenbruk'!$A29,'EPD data'!$A$4:$A$31,'EPD data'!$H$4:$H$31)))</f>
        <v>0.94</v>
      </c>
      <c r="H29" s="66">
        <f t="array" ref="H29">IF('Base case- rivet bad gjenbruk'!$E29="kg",XLOOKUP(A29,'EPD data'!$A$4:$A$31,'EPD data'!$O$4:$O$31),XLOOKUP(A29,'EPD data'!$A$4:$A$31,'EPD data'!$J$4:$J$31))</f>
        <v>0.5272</v>
      </c>
      <c r="I29" s="66">
        <f t="array" ref="I29">IF('Base case- rivet bad gjenbruk'!$E29="kg",XLOOKUP(A29,'EPD data'!$A$4:$A$31,'EPD data'!$Q$4:$Q$31),XLOOKUP('Base case- rivet bad gjenbruk'!$A29,'EPD data'!$A$4:$A$31,'EPD data'!$L$4:$L$31))</f>
        <v>0.5963</v>
      </c>
      <c r="J29" s="60">
        <f t="array" ref="J29">IF('Base case- rivet bad gjenbruk'!$E29="kg",XLOOKUP('Base case- rivet bad gjenbruk'!$A29,'EPD data'!$A$4:$A$31,'EPD data'!$P$4:$P$31),XLOOKUP('Base case- rivet bad gjenbruk'!$A29,'EPD data'!$A$4:$A$31,'EPD data'!$K$4:$K$31))</f>
        <v>0.0691</v>
      </c>
      <c r="K29" s="60">
        <f t="array" ref="K29">IF('Base case- rivet bad gjenbruk'!$E29="kg",XLOOKUP(A29,'EPD data'!$A$4:$A$31,'EPD data'!$R$4:$R$31),XLOOKUP('Base case- rivet bad gjenbruk'!$A29,'EPD data'!$A$4:$A$31,'EPD data'!$M$4:$M$31))</f>
        <v>1.665022</v>
      </c>
      <c r="L29" s="60">
        <f>'Base case- rivet bad gjenbruk'!$H29*'Base case- rivet bad gjenbruk'!$C29</f>
        <v>0.5272</v>
      </c>
      <c r="M29" s="60">
        <f>'Base case- rivet bad gjenbruk'!$J29*'Base case- rivet bad gjenbruk'!$C29</f>
        <v>0.0691</v>
      </c>
      <c r="N29" s="66">
        <f>SUM('Base case- rivet bad gjenbruk'!$L29:$M29)</f>
        <v>0.5963</v>
      </c>
      <c r="O29" s="66">
        <f t="shared" si="3"/>
        <v>1.665022</v>
      </c>
      <c r="P29" s="67">
        <f t="shared" si="4"/>
        <v>0.5272</v>
      </c>
      <c r="Q29" s="67">
        <f>IFERROR('Base case- rivet bad gjenbruk'!$D29*'Base case- rivet bad gjenbruk'!$J29,0)</f>
        <v>0.0691</v>
      </c>
      <c r="R29" s="68">
        <f>'Base case- rivet bad gjenbruk'!$D29*'Base case- rivet bad gjenbruk'!$I29</f>
        <v>0.5963</v>
      </c>
      <c r="S29" s="68">
        <f>'Base case- rivet bad gjenbruk'!$K29*'Base case- rivet bad gjenbruk'!$D29</f>
        <v>1.665022</v>
      </c>
      <c r="T29" s="63" t="s">
        <v>130</v>
      </c>
      <c r="U29" s="64" t="s">
        <v>73</v>
      </c>
    </row>
    <row r="30" ht="15.75" customHeight="1">
      <c r="A30" s="64" t="s">
        <v>131</v>
      </c>
      <c r="B30" s="64" t="s">
        <v>132</v>
      </c>
      <c r="C30" s="83">
        <v>1.0</v>
      </c>
      <c r="D30" s="59">
        <f>IF('Base case- rivet bad gjenbruk'!$E30="kg",'Base case- rivet bad gjenbruk'!$C30*$B$3,'Base case- rivet bad gjenbruk'!$C30)</f>
        <v>1</v>
      </c>
      <c r="E30" s="79" t="s">
        <v>111</v>
      </c>
      <c r="F30" s="79">
        <f t="array" ref="F30">IF('Base case- rivet bad gjenbruk'!$E30="kg",'Base case- rivet bad gjenbruk'!$C30,('Base case- rivet bad gjenbruk'!$C30*XLOOKUP('Base case- rivet bad gjenbruk'!$A30,'EPD data'!$A$4:$A$31,'EPD data'!$H$4:$H$31)))</f>
        <v>13.6</v>
      </c>
      <c r="G30" s="79">
        <f t="array" ref="G30">IF('Base case- rivet bad gjenbruk'!$E30="kg",'Base case- rivet bad gjenbruk'!$D30,('Base case- rivet bad gjenbruk'!$D30*XLOOKUP('Base case- rivet bad gjenbruk'!$A30,'EPD data'!$A$4:$A$31,'EPD data'!$H$4:$H$31)))</f>
        <v>13.6</v>
      </c>
      <c r="H30" s="66">
        <f t="array" ref="H30">IF('Base case- rivet bad gjenbruk'!$E30="kg",XLOOKUP(A30,'EPD data'!$A$4:$A$31,'EPD data'!$O$4:$O$31),XLOOKUP(A30,'EPD data'!$A$4:$A$31,'EPD data'!$J$4:$J$31))</f>
        <v>36.8</v>
      </c>
      <c r="I30" s="66">
        <f t="array" ref="I30">IF('Base case- rivet bad gjenbruk'!$E30="kg",XLOOKUP(A30,'EPD data'!$A$4:$A$31,'EPD data'!$Q$4:$Q$31),XLOOKUP('Base case- rivet bad gjenbruk'!$A30,'EPD data'!$A$4:$A$31,'EPD data'!$L$4:$L$31))</f>
        <v>38.04</v>
      </c>
      <c r="J30" s="60">
        <f t="array" ref="J30">IF('Base case- rivet bad gjenbruk'!$E30="kg",XLOOKUP('Base case- rivet bad gjenbruk'!$A30,'EPD data'!$A$4:$A$31,'EPD data'!$P$4:$P$31),XLOOKUP('Base case- rivet bad gjenbruk'!$A30,'EPD data'!$A$4:$A$31,'EPD data'!$K$4:$K$31))</f>
        <v>1.24</v>
      </c>
      <c r="K30" s="60">
        <f t="array" ref="K30">IF('Base case- rivet bad gjenbruk'!$E30="kg",XLOOKUP(A30,'EPD data'!$A$4:$A$31,'EPD data'!$R$4:$R$31),XLOOKUP('Base case- rivet bad gjenbruk'!$A30,'EPD data'!$A$4:$A$31,'EPD data'!$M$4:$M$31))</f>
        <v>11.06163</v>
      </c>
      <c r="L30" s="60">
        <f>'Base case- rivet bad gjenbruk'!$H30*'Base case- rivet bad gjenbruk'!$C30</f>
        <v>36.8</v>
      </c>
      <c r="M30" s="60">
        <f>'Base case- rivet bad gjenbruk'!$J30*'Base case- rivet bad gjenbruk'!$C30</f>
        <v>1.24</v>
      </c>
      <c r="N30" s="66">
        <f>SUM('Base case- rivet bad gjenbruk'!$L30:$M30)</f>
        <v>38.04</v>
      </c>
      <c r="O30" s="66">
        <f t="shared" si="3"/>
        <v>11.06163</v>
      </c>
      <c r="P30" s="67">
        <f t="shared" si="4"/>
        <v>36.8</v>
      </c>
      <c r="Q30" s="67">
        <f>IFERROR('Base case- rivet bad gjenbruk'!$D30*'Base case- rivet bad gjenbruk'!$J30,0)</f>
        <v>1.24</v>
      </c>
      <c r="R30" s="68">
        <f>'Base case- rivet bad gjenbruk'!$D30*'Base case- rivet bad gjenbruk'!$I30</f>
        <v>38.04</v>
      </c>
      <c r="S30" s="68">
        <f>IFERROR('Base case- rivet bad gjenbruk'!$K30*'Base case- rivet bad gjenbruk'!$D30,0)</f>
        <v>11.06163</v>
      </c>
      <c r="T30" s="84"/>
      <c r="U30" s="64" t="s">
        <v>73</v>
      </c>
    </row>
    <row r="31" ht="15.0" customHeight="1">
      <c r="A31" s="64" t="s">
        <v>133</v>
      </c>
      <c r="B31" s="64" t="s">
        <v>134</v>
      </c>
      <c r="C31" s="83">
        <v>0.0</v>
      </c>
      <c r="D31" s="59">
        <f>IF('Base case- rivet bad gjenbruk'!$E31="kg",'Base case- rivet bad gjenbruk'!$C31*$B$3,'Base case- rivet bad gjenbruk'!$C31)</f>
        <v>0</v>
      </c>
      <c r="E31" s="74" t="s">
        <v>111</v>
      </c>
      <c r="F31" s="74">
        <f t="array" ref="F31">IF('Base case- rivet bad gjenbruk'!$E31="kg",'Base case- rivet bad gjenbruk'!$C31,('Base case- rivet bad gjenbruk'!$C31*XLOOKUP('Base case- rivet bad gjenbruk'!$A31,'EPD data'!$A$4:$A$31,'EPD data'!$H$4:$H$31)))</f>
        <v>0</v>
      </c>
      <c r="G31" s="74">
        <f t="array" ref="G31">IF('Base case- rivet bad gjenbruk'!$E31="kg",'Base case- rivet bad gjenbruk'!$D31,('Base case- rivet bad gjenbruk'!$D31*XLOOKUP('Base case- rivet bad gjenbruk'!$A31,'EPD data'!$A$4:$A$31,'EPD data'!$H$4:$H$31)))</f>
        <v>0</v>
      </c>
      <c r="H31" s="66">
        <f t="array" ref="H31">IF('Base case- rivet bad gjenbruk'!$E31="kg",XLOOKUP(A31,'EPD data'!$A$4:$A$31,'EPD data'!$O$4:$O$31),XLOOKUP(A31,'EPD data'!$A$4:$A$31,'EPD data'!$J$4:$J$31))</f>
        <v>77.1</v>
      </c>
      <c r="I31" s="66">
        <f t="array" ref="I31">IF('Base case- rivet bad gjenbruk'!$E31="kg",XLOOKUP(A31,'EPD data'!$A$4:$A$31,'EPD data'!$Q$4:$Q$31),XLOOKUP('Base case- rivet bad gjenbruk'!$A31,'EPD data'!$A$4:$A$31,'EPD data'!$L$4:$L$31))</f>
        <v>77.1</v>
      </c>
      <c r="J31" s="60">
        <f t="array" ref="J31">IF('Base case- rivet bad gjenbruk'!$E31="kg",XLOOKUP('Base case- rivet bad gjenbruk'!$A31,'EPD data'!$A$4:$A$31,'EPD data'!$P$4:$P$31),XLOOKUP('Base case- rivet bad gjenbruk'!$A31,'EPD data'!$A$4:$A$31,'EPD data'!$K$4:$K$31))</f>
        <v>0</v>
      </c>
      <c r="K31" s="60">
        <f t="array" ref="K31">IF('Base case- rivet bad gjenbruk'!$E31="kg",XLOOKUP(A31,'EPD data'!$A$4:$A$31,'EPD data'!$R$4:$R$31),XLOOKUP('Base case- rivet bad gjenbruk'!$A31,'EPD data'!$A$4:$A$31,'EPD data'!$M$4:$M$31))</f>
        <v>0.903</v>
      </c>
      <c r="L31" s="60">
        <v>0.0</v>
      </c>
      <c r="M31" s="66">
        <v>0.0</v>
      </c>
      <c r="N31" s="66">
        <v>0.0</v>
      </c>
      <c r="O31" s="66">
        <v>0.0</v>
      </c>
      <c r="P31" s="66">
        <v>0.0</v>
      </c>
      <c r="Q31" s="66">
        <f>IFERROR('Base case- rivet bad gjenbruk'!$D31*'Base case- rivet bad gjenbruk'!$J31,0)</f>
        <v>0</v>
      </c>
      <c r="R31" s="66">
        <v>0.0</v>
      </c>
      <c r="S31" s="66">
        <v>0.0</v>
      </c>
      <c r="T31" s="63" t="s">
        <v>135</v>
      </c>
      <c r="U31" s="64" t="s">
        <v>136</v>
      </c>
    </row>
    <row r="32" ht="15.75" customHeight="1">
      <c r="A32" s="64" t="s">
        <v>137</v>
      </c>
      <c r="B32" s="64" t="s">
        <v>138</v>
      </c>
      <c r="C32" s="83">
        <v>0.0</v>
      </c>
      <c r="D32" s="59">
        <f>IF('Base case- rivet bad gjenbruk'!$E32="kg",'Base case- rivet bad gjenbruk'!$C32*$B$3,'Base case- rivet bad gjenbruk'!$C32)</f>
        <v>0</v>
      </c>
      <c r="E32" s="79" t="s">
        <v>111</v>
      </c>
      <c r="F32" s="79">
        <f t="array" ref="F32">IF('Base case- rivet bad gjenbruk'!$E32="kg",'Base case- rivet bad gjenbruk'!$C32,('Base case- rivet bad gjenbruk'!$C32*XLOOKUP('Base case- rivet bad gjenbruk'!$A32,'EPD data'!$A$4:$A$31,'EPD data'!$H$4:$H$31)))</f>
        <v>0</v>
      </c>
      <c r="G32" s="79">
        <f t="array" ref="G32">IF('Base case- rivet bad gjenbruk'!$E32="kg",'Base case- rivet bad gjenbruk'!$D32,('Base case- rivet bad gjenbruk'!$D32*XLOOKUP('Base case- rivet bad gjenbruk'!$A32,'EPD data'!$A$4:$A$31,'EPD data'!$H$4:$H$31)))</f>
        <v>0</v>
      </c>
      <c r="H32" s="66">
        <f t="array" ref="H32">IF('Base case- rivet bad gjenbruk'!$E32="kg",XLOOKUP(A32,'EPD data'!$A$4:$A$31,'EPD data'!$O$4:$O$31),XLOOKUP(A32,'EPD data'!$A$4:$A$31,'EPD data'!$J$4:$J$31))</f>
        <v>246</v>
      </c>
      <c r="I32" s="66">
        <f t="array" ref="I32">IF('Base case- rivet bad gjenbruk'!$E32="kg",XLOOKUP(A32,'EPD data'!$A$4:$A$31,'EPD data'!$Q$4:$Q$31),XLOOKUP('Base case- rivet bad gjenbruk'!$A32,'EPD data'!$A$4:$A$31,'EPD data'!$L$4:$L$31))</f>
        <v>265.5</v>
      </c>
      <c r="J32" s="60">
        <f t="array" ref="J32">IF('Base case- rivet bad gjenbruk'!$E32="kg",XLOOKUP('Base case- rivet bad gjenbruk'!$A32,'EPD data'!$A$4:$A$31,'EPD data'!$P$4:$P$31),XLOOKUP('Base case- rivet bad gjenbruk'!$A32,'EPD data'!$A$4:$A$31,'EPD data'!$K$4:$K$31))</f>
        <v>19.5</v>
      </c>
      <c r="K32" s="60">
        <f t="array" ref="K32">IF('Base case- rivet bad gjenbruk'!$E32="kg",XLOOKUP(A32,'EPD data'!$A$4:$A$31,'EPD data'!$R$4:$R$31),XLOOKUP('Base case- rivet bad gjenbruk'!$A32,'EPD data'!$A$4:$A$31,'EPD data'!$M$4:$M$31))</f>
        <v>1.702</v>
      </c>
      <c r="L32" s="60">
        <v>0.0</v>
      </c>
      <c r="M32" s="66">
        <v>0.0</v>
      </c>
      <c r="N32" s="66">
        <v>0.0</v>
      </c>
      <c r="O32" s="66">
        <v>0.0</v>
      </c>
      <c r="P32" s="66">
        <v>0.0</v>
      </c>
      <c r="Q32" s="66">
        <v>0.0</v>
      </c>
      <c r="R32" s="66">
        <v>0.0</v>
      </c>
      <c r="S32" s="66">
        <v>0.0</v>
      </c>
      <c r="T32" s="85"/>
      <c r="U32" s="64" t="s">
        <v>136</v>
      </c>
    </row>
    <row r="33" ht="15.75" customHeight="1">
      <c r="A33" s="64" t="s">
        <v>139</v>
      </c>
      <c r="B33" s="64" t="s">
        <v>140</v>
      </c>
      <c r="C33" s="86">
        <v>0.0</v>
      </c>
      <c r="D33" s="59">
        <f>IF('Base case- rivet bad gjenbruk'!$E33="kg",'Base case- rivet bad gjenbruk'!$C33*$B$3,'Base case- rivet bad gjenbruk'!$C33)</f>
        <v>0</v>
      </c>
      <c r="E33" s="79" t="s">
        <v>71</v>
      </c>
      <c r="F33" s="79">
        <f t="array" ref="F33">IF('Base case- rivet bad gjenbruk'!$E33="kg",'Base case- rivet bad gjenbruk'!$C33,('Base case- rivet bad gjenbruk'!$C33*XLOOKUP('Base case- rivet bad gjenbruk'!$A33,'EPD data'!$A$4:$A$31,'EPD data'!$H$4:$H$31)))</f>
        <v>0</v>
      </c>
      <c r="G33" s="79">
        <f t="array" ref="G33">IF('Base case- rivet bad gjenbruk'!$E33="kg",'Base case- rivet bad gjenbruk'!$D33,('Base case- rivet bad gjenbruk'!$D33*XLOOKUP('Base case- rivet bad gjenbruk'!$A33,'EPD data'!$A$4:$A$31,'EPD data'!$H$4:$H$31)))</f>
        <v>0</v>
      </c>
      <c r="H33" s="66">
        <f t="array" ref="H33">IF('Base case- rivet bad gjenbruk'!$E33="kg",XLOOKUP(A33,'EPD data'!$A$4:$A$31,'EPD data'!$O$4:$O$31),XLOOKUP(A33,'EPD data'!$A$4:$A$31,'EPD data'!$J$4:$J$31))</f>
        <v>3.1805</v>
      </c>
      <c r="I33" s="66">
        <f t="array" ref="I33">IF('Base case- rivet bad gjenbruk'!$E33="kg",XLOOKUP(A33,'EPD data'!$A$4:$A$31,'EPD data'!$Q$4:$Q$31),XLOOKUP('Base case- rivet bad gjenbruk'!$A33,'EPD data'!$A$4:$A$31,'EPD data'!$L$4:$L$31))</f>
        <v>3.1805</v>
      </c>
      <c r="J33" s="60">
        <f t="array" ref="J33">IF('Base case- rivet bad gjenbruk'!$E33="kg",XLOOKUP('Base case- rivet bad gjenbruk'!$A33,'EPD data'!$A$4:$A$31,'EPD data'!$P$4:$P$31),XLOOKUP('Base case- rivet bad gjenbruk'!$A33,'EPD data'!$A$4:$A$31,'EPD data'!$K$4:$K$31))</f>
        <v>0</v>
      </c>
      <c r="K33" s="60">
        <f t="array" ref="K33">IF('Base case- rivet bad gjenbruk'!$E33="kg",XLOOKUP(A33,'EPD data'!$A$4:$A$31,'EPD data'!$R$4:$R$31),XLOOKUP('Base case- rivet bad gjenbruk'!$A33,'EPD data'!$A$4:$A$31,'EPD data'!$M$4:$M$31))</f>
        <v>0.0557</v>
      </c>
      <c r="L33" s="60">
        <v>0.0</v>
      </c>
      <c r="M33" s="66">
        <v>0.0</v>
      </c>
      <c r="N33" s="66">
        <v>0.0</v>
      </c>
      <c r="O33" s="66">
        <v>0.0</v>
      </c>
      <c r="P33" s="66">
        <v>0.0</v>
      </c>
      <c r="Q33" s="66">
        <f>IFERROR('Base case- rivet bad gjenbruk'!$D33*'Base case- rivet bad gjenbruk'!$J33,0)</f>
        <v>0</v>
      </c>
      <c r="R33" s="66">
        <v>0.0</v>
      </c>
      <c r="S33" s="66">
        <v>0.0</v>
      </c>
      <c r="T33" s="87" t="s">
        <v>141</v>
      </c>
      <c r="U33" s="64" t="s">
        <v>136</v>
      </c>
    </row>
    <row r="34" ht="15.75" customHeight="1">
      <c r="A34" s="88" t="s">
        <v>142</v>
      </c>
      <c r="B34" s="89"/>
      <c r="C34" s="89"/>
      <c r="D34" s="89"/>
      <c r="E34" s="78"/>
      <c r="F34" s="78">
        <f>SUBTOTAL(109,'Base case- rivet bad gjenbruk'!$F$7:$F$33)</f>
        <v>253.794</v>
      </c>
      <c r="G34" s="78">
        <f>SUBTOTAL(109,'Base case- rivet bad gjenbruk'!$G$7:$G$33)</f>
        <v>1408.294</v>
      </c>
      <c r="H34" s="90"/>
      <c r="I34" s="90"/>
      <c r="J34" s="90"/>
      <c r="K34" s="91"/>
      <c r="L34" s="92">
        <f>SUBTOTAL(109,'Base case- rivet bad gjenbruk'!$L$7:$L$33)</f>
        <v>311.1884186</v>
      </c>
      <c r="M34" s="92">
        <f>SUBTOTAL(109,'Base case- rivet bad gjenbruk'!$M$7:$M$33)</f>
        <v>8.640886718</v>
      </c>
      <c r="N34" s="92">
        <f>SUBTOTAL(109,'Base case- rivet bad gjenbruk'!$N$7:$N$33)</f>
        <v>319.8293053</v>
      </c>
      <c r="O34" s="92">
        <f>SUBTOTAL(109,'Base case- rivet bad gjenbruk'!$O$7:$O$33)</f>
        <v>61.87269931</v>
      </c>
      <c r="P34" s="92">
        <f>SUBTOTAL(109,'Base case- rivet bad gjenbruk'!$P$7:$P$33)</f>
        <v>1212.474512</v>
      </c>
      <c r="Q34" s="92">
        <f>SUBTOTAL(109,'Base case- rivet bad gjenbruk'!$Q$7:$Q$33)</f>
        <v>35.99282031</v>
      </c>
      <c r="R34" s="92">
        <f>SUBTOTAL(109,'Base case- rivet bad gjenbruk'!$R$7:$R$33)</f>
        <v>1248.467332</v>
      </c>
      <c r="S34" s="92">
        <f>SUBTOTAL(109,'Base case- rivet bad gjenbruk'!$S$7:$S$33)</f>
        <v>295.7771859</v>
      </c>
      <c r="T34" s="93">
        <f>SUBTOTAL(103,'Base case- rivet bad gjenbruk'!$T$7:$T$33)</f>
        <v>24</v>
      </c>
      <c r="U34" s="89"/>
    </row>
    <row r="35" ht="15.75" customHeight="1">
      <c r="L35" s="94"/>
      <c r="M35" s="94"/>
      <c r="N35" s="94"/>
      <c r="O35" s="94"/>
      <c r="P35" s="94"/>
      <c r="Q35" s="94"/>
      <c r="R35" s="94"/>
      <c r="S35" s="94"/>
    </row>
    <row r="36" ht="15.75" customHeight="1">
      <c r="A36" s="36" t="s">
        <v>143</v>
      </c>
      <c r="B36" s="95"/>
      <c r="C36" s="95"/>
      <c r="D36" s="95"/>
      <c r="L36" s="94"/>
      <c r="M36" s="94"/>
      <c r="N36" s="96" t="s">
        <v>144</v>
      </c>
      <c r="O36" s="96">
        <f>SUM('Base case- rivet bad gjenbruk'!$N$34:$O$34)</f>
        <v>381.7020046</v>
      </c>
      <c r="P36" s="94"/>
      <c r="Q36" s="94"/>
      <c r="R36" s="96" t="s">
        <v>144</v>
      </c>
      <c r="S36" s="96">
        <f>SUM('Base case- rivet bad gjenbruk'!$R$34+'Base case- rivet bad gjenbruk'!$S$34)</f>
        <v>1544.244518</v>
      </c>
    </row>
    <row r="37" ht="15.75" customHeight="1">
      <c r="A37" s="36" t="s">
        <v>145</v>
      </c>
      <c r="B37" s="95"/>
      <c r="C37" s="95"/>
      <c r="D37" s="95"/>
      <c r="L37" s="94"/>
      <c r="M37" s="94"/>
      <c r="N37" s="94"/>
      <c r="O37" s="94"/>
      <c r="P37" s="94"/>
      <c r="Q37" s="94"/>
      <c r="R37" s="94"/>
      <c r="S37" s="94"/>
    </row>
    <row r="38" ht="15.75" customHeight="1">
      <c r="A38" s="36" t="s">
        <v>146</v>
      </c>
      <c r="B38" s="95"/>
      <c r="C38" s="95"/>
      <c r="D38" s="95"/>
    </row>
    <row r="39" ht="15.75" customHeight="1">
      <c r="A39" s="95"/>
      <c r="B39" s="95"/>
      <c r="C39" s="95"/>
      <c r="D39" s="95"/>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B1"/>
    <mergeCell ref="A5:G5"/>
    <mergeCell ref="H5:K5"/>
    <mergeCell ref="L5:O5"/>
    <mergeCell ref="P5:S5"/>
  </mergeCells>
  <conditionalFormatting sqref="H7:N7 H8:K19 H21:K33 L8:L33 M8:M30 M31:N33 N8:S19 N21:S30 O7:S19 O21:S33">
    <cfRule type="cellIs" dxfId="4" priority="1" operator="equal">
      <formula>0</formula>
    </cfRule>
  </conditionalFormatting>
  <conditionalFormatting sqref="M7:M34">
    <cfRule type="cellIs" dxfId="4" priority="2" operator="lessThan">
      <formula>0</formula>
    </cfRule>
  </conditionalFormatting>
  <hyperlinks>
    <hyperlink r:id="rId2" ref="T7"/>
    <hyperlink r:id="rId3" ref="T8"/>
    <hyperlink r:id="rId4" ref="T9"/>
    <hyperlink r:id="rId5" ref="T10"/>
    <hyperlink r:id="rId6" ref="T11"/>
    <hyperlink r:id="rId7" ref="T12"/>
    <hyperlink r:id="rId8" ref="T13"/>
    <hyperlink r:id="rId9" ref="T14"/>
    <hyperlink r:id="rId10" ref="T15"/>
    <hyperlink r:id="rId11" ref="T16"/>
    <hyperlink r:id="rId12" ref="T19"/>
    <hyperlink r:id="rId13" ref="T21"/>
    <hyperlink r:id="rId14" ref="T22"/>
    <hyperlink r:id="rId15" ref="T23"/>
    <hyperlink r:id="rId16" ref="T24"/>
    <hyperlink r:id="rId17" ref="T25"/>
    <hyperlink r:id="rId18" ref="T26"/>
    <hyperlink r:id="rId19" ref="T27"/>
    <hyperlink r:id="rId20" ref="T28"/>
    <hyperlink r:id="rId21" ref="T29"/>
    <hyperlink r:id="rId22" ref="T31"/>
    <hyperlink r:id="rId23" ref="T33"/>
  </hyperlinks>
  <printOptions/>
  <pageMargins bottom="0.75" footer="0.0" header="0.0" left="0.7" right="0.7" top="0.75"/>
  <pageSetup orientation="landscape"/>
  <drawing r:id="rId24"/>
  <legacyDrawing r:id="rId25"/>
  <tableParts count="1">
    <tablePart r:id="rId27"/>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CCCFC"/>
    <pageSetUpPr/>
  </sheetPr>
  <sheetViews>
    <sheetView workbookViewId="0"/>
  </sheetViews>
  <sheetFormatPr customHeight="1" defaultColWidth="14.43" defaultRowHeight="15.0"/>
  <cols>
    <col customWidth="1" min="1" max="1" width="39.29"/>
    <col customWidth="1" min="2" max="2" width="33.71"/>
    <col customWidth="1" min="3" max="3" width="14.43"/>
    <col customWidth="1" min="4" max="4" width="9.14"/>
    <col customWidth="1" min="5" max="5" width="8.29"/>
    <col customWidth="1" hidden="1" min="6" max="6" width="12.0"/>
    <col customWidth="1" hidden="1" min="7" max="7" width="11.86"/>
    <col customWidth="1" min="8" max="8" width="13.86"/>
    <col customWidth="1" min="9" max="9" width="15.14"/>
    <col customWidth="1" min="10" max="11" width="14.14"/>
    <col customWidth="1" min="12" max="12" width="12.57"/>
    <col customWidth="1" min="13" max="13" width="14.43"/>
    <col customWidth="1" min="14" max="14" width="14.29"/>
    <col customWidth="1" min="15" max="15" width="16.71"/>
    <col customWidth="1" min="16" max="16" width="15.0"/>
    <col customWidth="1" min="17" max="17" width="15.14"/>
    <col customWidth="1" min="18" max="18" width="17.43"/>
    <col customWidth="1" min="19" max="19" width="15.0"/>
    <col customWidth="1" min="20" max="20" width="32.14"/>
    <col customWidth="1" min="21" max="21" width="98.57"/>
    <col customWidth="1" min="22" max="26" width="8.71"/>
  </cols>
  <sheetData>
    <row r="1">
      <c r="A1" s="44" t="s">
        <v>147</v>
      </c>
      <c r="B1" s="20"/>
    </row>
    <row r="3">
      <c r="A3" s="15" t="s">
        <v>44</v>
      </c>
      <c r="B3" s="45">
        <f>'Resultat - M-tek'!$B$22</f>
        <v>6</v>
      </c>
    </row>
    <row r="4">
      <c r="G4" s="36"/>
      <c r="H4" s="36"/>
      <c r="I4" s="36"/>
      <c r="J4" s="46"/>
      <c r="K4" s="46"/>
      <c r="L4" s="46"/>
      <c r="M4" s="46"/>
    </row>
    <row r="5" ht="27.0" customHeight="1">
      <c r="A5" s="47" t="s">
        <v>148</v>
      </c>
      <c r="B5" s="19"/>
      <c r="C5" s="19"/>
      <c r="D5" s="19"/>
      <c r="E5" s="20"/>
      <c r="F5" s="97"/>
      <c r="G5" s="48" t="s">
        <v>9</v>
      </c>
      <c r="H5" s="19"/>
      <c r="I5" s="19"/>
      <c r="J5" s="19"/>
      <c r="K5" s="20"/>
      <c r="L5" s="49" t="s">
        <v>46</v>
      </c>
      <c r="M5" s="19"/>
      <c r="N5" s="19"/>
      <c r="O5" s="20"/>
      <c r="P5" s="50" t="s">
        <v>47</v>
      </c>
      <c r="Q5" s="19"/>
      <c r="R5" s="19"/>
      <c r="S5" s="20"/>
    </row>
    <row r="6" ht="30.75" customHeight="1">
      <c r="A6" s="98" t="s">
        <v>48</v>
      </c>
      <c r="B6" s="98" t="s">
        <v>49</v>
      </c>
      <c r="C6" s="99" t="s">
        <v>50</v>
      </c>
      <c r="D6" s="100" t="s">
        <v>51</v>
      </c>
      <c r="E6" s="98" t="s">
        <v>52</v>
      </c>
      <c r="F6" s="101" t="s">
        <v>53</v>
      </c>
      <c r="G6" s="101" t="s">
        <v>54</v>
      </c>
      <c r="H6" s="99" t="s">
        <v>55</v>
      </c>
      <c r="I6" s="99" t="s">
        <v>56</v>
      </c>
      <c r="J6" s="99" t="s">
        <v>57</v>
      </c>
      <c r="K6" s="99" t="s">
        <v>58</v>
      </c>
      <c r="L6" s="98" t="s">
        <v>59</v>
      </c>
      <c r="M6" s="98" t="s">
        <v>60</v>
      </c>
      <c r="N6" s="98" t="s">
        <v>61</v>
      </c>
      <c r="O6" s="98" t="s">
        <v>62</v>
      </c>
      <c r="P6" s="102" t="s">
        <v>63</v>
      </c>
      <c r="Q6" s="103" t="s">
        <v>149</v>
      </c>
      <c r="R6" s="102" t="s">
        <v>65</v>
      </c>
      <c r="S6" s="102" t="s">
        <v>66</v>
      </c>
      <c r="T6" s="56" t="s">
        <v>67</v>
      </c>
      <c r="U6" s="57" t="s">
        <v>68</v>
      </c>
    </row>
    <row r="7" ht="15.75" customHeight="1">
      <c r="A7" s="58" t="s">
        <v>69</v>
      </c>
      <c r="B7" s="59" t="s">
        <v>70</v>
      </c>
      <c r="C7" s="59">
        <v>10.0</v>
      </c>
      <c r="D7" s="59">
        <f>IF('Base case- rivet bad'!$E7="kg",'Base case- rivet bad'!$C7*$B$3,'Base case- rivet bad'!$C7)</f>
        <v>60</v>
      </c>
      <c r="E7" s="59" t="s">
        <v>71</v>
      </c>
      <c r="F7" s="59">
        <f t="array" ref="F7">IF('Base case- rivet bad'!$E7="kg",'Base case- rivet bad'!$C7,('Base case- rivet bad'!$C7*XLOOKUP('Base case- rivet bad'!$A7,'EPD data'!$A$4:$A$31,'EPD data'!$H$4:$H$31)))</f>
        <v>10</v>
      </c>
      <c r="G7" s="59">
        <f t="array" ref="G7">IF('Base case- rivet bad'!$E7="kg",'Base case- rivet bad'!$D7,('Base case- rivet bad'!$D7*XLOOKUP('Base case- rivet bad'!$A7,'EPD data'!$A$4:$A$31,'EPD data'!$H$4:$H$31)))</f>
        <v>60</v>
      </c>
      <c r="H7" s="60">
        <f t="array" ref="H7">IF('Base case- rivet bad'!$E7="kg",XLOOKUP(A7,'EPD data'!$A$4:$A$31,'EPD data'!$O$4:$O$31),XLOOKUP(A7,'EPD data'!$A$4:$A$31,'EPD data'!$J$4:$J$31))</f>
        <v>0.2944062807</v>
      </c>
      <c r="I7" s="60">
        <f t="array" ref="I7">IF('Base case- rivet bad'!$E7="kg",XLOOKUP(A7,'EPD data'!$A$4:$A$31,'EPD data'!$Q$4:$Q$31),XLOOKUP('Base case- rivet bad'!$A7,'EPD data'!$A$4:$A$31,'EPD data'!$L$4:$L$31))</f>
        <v>0.3191598436</v>
      </c>
      <c r="J7" s="60">
        <f t="array" ref="J7">IF('Base case- rivet bad'!$E7="kg",XLOOKUP('Base case- rivet bad'!$A7,'EPD data'!$A$4:$A$31,'EPD data'!$P$4:$P$31),XLOOKUP('Base case- rivet bad'!$A7,'EPD data'!$A$4:$A$31,'EPD data'!$K$4:$K$31))</f>
        <v>0.0247535629</v>
      </c>
      <c r="K7" s="60">
        <f t="array" ref="K7">IF('Base case- rivet bad'!$E7="kg",XLOOKUP(A7,'EPD data'!$A$4:$A$31,'EPD data'!$R$4:$R$31),XLOOKUP('Base case- rivet bad'!$A7,'EPD data'!$A$4:$A$31,'EPD data'!$M$4:$M$31))</f>
        <v>0.1808490619</v>
      </c>
      <c r="L7" s="60">
        <f>'Base case- rivet bad'!$H7*'Base case- rivet bad'!$C7</f>
        <v>2.944062807</v>
      </c>
      <c r="M7" s="60">
        <f>'Base case- rivet bad'!$J7*'Base case- rivet bad'!$C7</f>
        <v>0.247535629</v>
      </c>
      <c r="N7" s="60">
        <f>SUM('Base case- rivet bad'!$L7:$M7)</f>
        <v>3.191598436</v>
      </c>
      <c r="O7" s="60">
        <f t="shared" ref="O7:O19" si="1">IFERROR(K7*C7,0)</f>
        <v>1.808490619</v>
      </c>
      <c r="P7" s="61">
        <f t="shared" ref="P7:P19" si="2">IFERROR(H7*$D7,0)</f>
        <v>17.66437684</v>
      </c>
      <c r="Q7" s="62">
        <f>'Base case- rivet bad'!$D7*'Base case- rivet bad'!$J7</f>
        <v>1.485213774</v>
      </c>
      <c r="R7" s="62">
        <f>'Base case- rivet bad'!$D7*'Base case- rivet bad'!$I7</f>
        <v>19.14959061</v>
      </c>
      <c r="S7" s="62">
        <f>'Base case- rivet bad'!$K7*'Base case- rivet bad'!$D7</f>
        <v>10.85094371</v>
      </c>
      <c r="T7" s="63" t="s">
        <v>72</v>
      </c>
      <c r="U7" s="64" t="s">
        <v>73</v>
      </c>
    </row>
    <row r="8">
      <c r="A8" s="65" t="s">
        <v>74</v>
      </c>
      <c r="B8" s="64" t="s">
        <v>70</v>
      </c>
      <c r="C8" s="64">
        <v>13.2</v>
      </c>
      <c r="D8" s="59">
        <f>IF('Base case- rivet bad'!$E8="kg",'Base case- rivet bad'!$C8*$B$3,'Base case- rivet bad'!$C8)</f>
        <v>79.2</v>
      </c>
      <c r="E8" s="64" t="s">
        <v>71</v>
      </c>
      <c r="F8" s="59">
        <f t="array" ref="F8">IF('Base case- rivet bad'!$E8="kg",'Base case- rivet bad'!$C8,('Base case- rivet bad'!$C8*XLOOKUP('Base case- rivet bad'!$A8,'EPD data'!$A$4:$A$31,'EPD data'!$H$4:$H$31)))</f>
        <v>13.2</v>
      </c>
      <c r="G8" s="59">
        <f t="array" ref="G8">IF('Base case- rivet bad'!$E8="kg",'Base case- rivet bad'!$D8,('Base case- rivet bad'!$D8*XLOOKUP('Base case- rivet bad'!$A8,'EPD data'!$A$4:$A$31,'EPD data'!$H$4:$H$31)))</f>
        <v>79.2</v>
      </c>
      <c r="H8" s="66">
        <f t="array" ref="H8">IF('Base case- rivet bad'!$E8="kg",XLOOKUP(A8,'EPD data'!$A$4:$A$31,'EPD data'!$O$4:$O$31),XLOOKUP(A8,'EPD data'!$A$4:$A$31,'EPD data'!$J$4:$J$31))</f>
        <v>0.1000436781</v>
      </c>
      <c r="I8" s="66">
        <f t="array" ref="I8">IF('Base case- rivet bad'!$E8="kg",XLOOKUP(A8,'EPD data'!$A$4:$A$31,'EPD data'!$Q$4:$Q$31),XLOOKUP('Base case- rivet bad'!$A8,'EPD data'!$A$4:$A$31,'EPD data'!$L$4:$L$31))</f>
        <v>0.109236881</v>
      </c>
      <c r="J8" s="60">
        <f t="array" ref="J8">IF('Base case- rivet bad'!$E8="kg",XLOOKUP('Base case- rivet bad'!$A8,'EPD data'!$A$4:$A$31,'EPD data'!$P$4:$P$31),XLOOKUP('Base case- rivet bad'!$A8,'EPD data'!$A$4:$A$31,'EPD data'!$K$4:$K$31))</f>
        <v>0.009193202854</v>
      </c>
      <c r="K8" s="60">
        <f t="array" ref="K8">IF('Base case- rivet bad'!$E8="kg",XLOOKUP(A8,'EPD data'!$A$4:$A$31,'EPD data'!$R$4:$R$31),XLOOKUP('Base case- rivet bad'!$A8,'EPD data'!$A$4:$A$31,'EPD data'!$M$4:$M$31))</f>
        <v>0.02763953077</v>
      </c>
      <c r="L8" s="60">
        <f>'Base case- rivet bad'!$H8*'Base case- rivet bad'!$C8</f>
        <v>1.320576551</v>
      </c>
      <c r="M8" s="60">
        <f>'Base case- rivet bad'!$J8*'Base case- rivet bad'!$C8</f>
        <v>0.1213502777</v>
      </c>
      <c r="N8" s="60">
        <f>SUM('Base case- rivet bad'!$L8:$M8)</f>
        <v>1.441926829</v>
      </c>
      <c r="O8" s="60">
        <f t="shared" si="1"/>
        <v>0.3648418062</v>
      </c>
      <c r="P8" s="61">
        <f t="shared" si="2"/>
        <v>7.923459307</v>
      </c>
      <c r="Q8" s="62">
        <f>'Base case- rivet bad'!$D8*'Base case- rivet bad'!$J8</f>
        <v>0.728101666</v>
      </c>
      <c r="R8" s="62">
        <f>'Base case- rivet bad'!$D8*'Base case- rivet bad'!$I8</f>
        <v>8.651560973</v>
      </c>
      <c r="S8" s="62">
        <f>'Base case- rivet bad'!$K8*'Base case- rivet bad'!$D8</f>
        <v>2.189050837</v>
      </c>
      <c r="T8" s="63" t="s">
        <v>75</v>
      </c>
      <c r="U8" s="64" t="s">
        <v>73</v>
      </c>
    </row>
    <row r="9">
      <c r="A9" s="65" t="s">
        <v>76</v>
      </c>
      <c r="B9" s="64" t="s">
        <v>70</v>
      </c>
      <c r="C9" s="64">
        <v>36.0</v>
      </c>
      <c r="D9" s="59">
        <f>IF('Base case- rivet bad'!$E9="kg",'Base case- rivet bad'!$C9*$B$3,'Base case- rivet bad'!$C9)</f>
        <v>216</v>
      </c>
      <c r="E9" s="64" t="s">
        <v>71</v>
      </c>
      <c r="F9" s="59">
        <f t="array" ref="F9">IF('Base case- rivet bad'!$E9="kg",'Base case- rivet bad'!$C9,('Base case- rivet bad'!$C9*XLOOKUP('Base case- rivet bad'!$A9,'EPD data'!$A$4:$A$31,'EPD data'!$H$4:$H$31)))</f>
        <v>36</v>
      </c>
      <c r="G9" s="59">
        <f t="array" ref="G9">IF('Base case- rivet bad'!$E9="kg",'Base case- rivet bad'!$D9,('Base case- rivet bad'!$D9*XLOOKUP('Base case- rivet bad'!$A9,'EPD data'!$A$4:$A$31,'EPD data'!$H$4:$H$31)))</f>
        <v>216</v>
      </c>
      <c r="H9" s="66">
        <f t="array" ref="H9">IF('Base case- rivet bad'!$E9="kg",XLOOKUP(A9,'EPD data'!$A$4:$A$31,'EPD data'!$O$4:$O$31),XLOOKUP(A9,'EPD data'!$A$4:$A$31,'EPD data'!$J$4:$J$31))</f>
        <v>0.1360544218</v>
      </c>
      <c r="I9" s="66">
        <f t="array" ref="I9">IF('Base case- rivet bad'!$E9="kg",XLOOKUP(A9,'EPD data'!$A$4:$A$31,'EPD data'!$Q$4:$Q$31),XLOOKUP('Base case- rivet bad'!$A9,'EPD data'!$A$4:$A$31,'EPD data'!$L$4:$L$31))</f>
        <v>0.1455102041</v>
      </c>
      <c r="J9" s="60">
        <f t="array" ref="J9">IF('Base case- rivet bad'!$E9="kg",XLOOKUP('Base case- rivet bad'!$A9,'EPD data'!$A$4:$A$31,'EPD data'!$P$4:$P$31),XLOOKUP('Base case- rivet bad'!$A9,'EPD data'!$A$4:$A$31,'EPD data'!$K$4:$K$31))</f>
        <v>0.009455782313</v>
      </c>
      <c r="K9" s="60">
        <f t="array" ref="K9">IF('Base case- rivet bad'!$E9="kg",XLOOKUP(A9,'EPD data'!$A$4:$A$31,'EPD data'!$R$4:$R$31),XLOOKUP('Base case- rivet bad'!$A9,'EPD data'!$A$4:$A$31,'EPD data'!$M$4:$M$31))</f>
        <v>0.01897591837</v>
      </c>
      <c r="L9" s="60">
        <f>'Base case- rivet bad'!$H9*'Base case- rivet bad'!$C9</f>
        <v>4.897959184</v>
      </c>
      <c r="M9" s="60">
        <f>'Base case- rivet bad'!$J9*'Base case- rivet bad'!$C9</f>
        <v>0.3404081633</v>
      </c>
      <c r="N9" s="60">
        <f>SUM('Base case- rivet bad'!$L9:$M9)</f>
        <v>5.238367347</v>
      </c>
      <c r="O9" s="60">
        <f t="shared" si="1"/>
        <v>0.6831330612</v>
      </c>
      <c r="P9" s="61">
        <f t="shared" si="2"/>
        <v>29.3877551</v>
      </c>
      <c r="Q9" s="62">
        <f>'Base case- rivet bad'!$D9*'Base case- rivet bad'!$J9</f>
        <v>2.04244898</v>
      </c>
      <c r="R9" s="62">
        <f>'Base case- rivet bad'!$D9*'Base case- rivet bad'!$I9</f>
        <v>31.43020408</v>
      </c>
      <c r="S9" s="62">
        <f>'Base case- rivet bad'!$K9*'Base case- rivet bad'!$D9</f>
        <v>4.098798367</v>
      </c>
      <c r="T9" s="63" t="s">
        <v>76</v>
      </c>
      <c r="U9" s="64" t="s">
        <v>73</v>
      </c>
    </row>
    <row r="10">
      <c r="A10" s="65" t="s">
        <v>77</v>
      </c>
      <c r="B10" s="64" t="s">
        <v>78</v>
      </c>
      <c r="C10" s="64">
        <v>8.8</v>
      </c>
      <c r="D10" s="59">
        <f>IF('Base case- rivet bad'!$E10="kg",'Base case- rivet bad'!$C10*$B$3,'Base case- rivet bad'!$C10)</f>
        <v>52.8</v>
      </c>
      <c r="E10" s="64" t="s">
        <v>71</v>
      </c>
      <c r="F10" s="59">
        <f t="array" ref="F10">IF('Base case- rivet bad'!$E10="kg",'Base case- rivet bad'!$C10,('Base case- rivet bad'!$C10*XLOOKUP('Base case- rivet bad'!$A10,'EPD data'!$A$4:$A$31,'EPD data'!$H$4:$H$31)))</f>
        <v>8.8</v>
      </c>
      <c r="G10" s="59">
        <f t="array" ref="G10">IF('Base case- rivet bad'!$E10="kg",'Base case- rivet bad'!$D10,('Base case- rivet bad'!$D10*XLOOKUP('Base case- rivet bad'!$A10,'EPD data'!$A$4:$A$31,'EPD data'!$H$4:$H$31)))</f>
        <v>52.8</v>
      </c>
      <c r="H10" s="66">
        <f t="array" ref="H10">IF('Base case- rivet bad'!$E10="kg",XLOOKUP(A10,'EPD data'!$A$4:$A$31,'EPD data'!$O$4:$O$31),XLOOKUP(A10,'EPD data'!$A$4:$A$31,'EPD data'!$J$4:$J$31))</f>
        <v>7.542857143</v>
      </c>
      <c r="I10" s="66">
        <f t="array" ref="I10">IF('Base case- rivet bad'!$E10="kg",XLOOKUP(A10,'EPD data'!$A$4:$A$31,'EPD data'!$Q$4:$Q$31),XLOOKUP('Base case- rivet bad'!$A10,'EPD data'!$A$4:$A$31,'EPD data'!$L$4:$L$31))</f>
        <v>7.591771429</v>
      </c>
      <c r="J10" s="60">
        <f t="array" ref="J10">IF('Base case- rivet bad'!$E10="kg",XLOOKUP('Base case- rivet bad'!$A10,'EPD data'!$A$4:$A$31,'EPD data'!$P$4:$P$31),XLOOKUP('Base case- rivet bad'!$A10,'EPD data'!$A$4:$A$31,'EPD data'!$K$4:$K$31))</f>
        <v>0.04891428571</v>
      </c>
      <c r="K10" s="60">
        <f t="array" ref="K10">IF('Base case- rivet bad'!$E10="kg",XLOOKUP(A10,'EPD data'!$A$4:$A$31,'EPD data'!$R$4:$R$31),XLOOKUP('Base case- rivet bad'!$A10,'EPD data'!$A$4:$A$31,'EPD data'!$M$4:$M$31))</f>
        <v>2.328765714</v>
      </c>
      <c r="L10" s="60">
        <f>'Base case- rivet bad'!$H10*'Base case- rivet bad'!$C10</f>
        <v>66.37714286</v>
      </c>
      <c r="M10" s="60">
        <f>'Base case- rivet bad'!$J10*'Base case- rivet bad'!$C10</f>
        <v>0.4304457143</v>
      </c>
      <c r="N10" s="60">
        <f>SUM('Base case- rivet bad'!$L10:$M10)</f>
        <v>66.80758857</v>
      </c>
      <c r="O10" s="60">
        <f t="shared" si="1"/>
        <v>20.49313829</v>
      </c>
      <c r="P10" s="61">
        <f t="shared" si="2"/>
        <v>398.2628571</v>
      </c>
      <c r="Q10" s="62">
        <f>'Base case- rivet bad'!$D10*'Base case- rivet bad'!$J10</f>
        <v>2.582674286</v>
      </c>
      <c r="R10" s="62">
        <f>'Base case- rivet bad'!$D10*'Base case- rivet bad'!$I10</f>
        <v>400.8455314</v>
      </c>
      <c r="S10" s="62">
        <f>'Base case- rivet bad'!$K10*'Base case- rivet bad'!$D10</f>
        <v>122.9588297</v>
      </c>
      <c r="T10" s="63" t="s">
        <v>79</v>
      </c>
      <c r="U10" s="64" t="s">
        <v>73</v>
      </c>
    </row>
    <row r="11">
      <c r="A11" s="65" t="s">
        <v>80</v>
      </c>
      <c r="B11" s="64" t="s">
        <v>81</v>
      </c>
      <c r="C11" s="64">
        <v>2.8</v>
      </c>
      <c r="D11" s="59">
        <f>IF('Base case- rivet bad'!$E11="kg",'Base case- rivet bad'!$C11*$B$3,'Base case- rivet bad'!$C11)</f>
        <v>16.8</v>
      </c>
      <c r="E11" s="64" t="s">
        <v>71</v>
      </c>
      <c r="F11" s="59">
        <f t="array" ref="F11">IF('Base case- rivet bad'!$E11="kg",'Base case- rivet bad'!$C11,('Base case- rivet bad'!$C11*XLOOKUP('Base case- rivet bad'!$A11,'EPD data'!$A$4:$A$31,'EPD data'!$H$4:$H$31)))</f>
        <v>2.8</v>
      </c>
      <c r="G11" s="59">
        <f t="array" ref="G11">IF('Base case- rivet bad'!$E11="kg",'Base case- rivet bad'!$D11,('Base case- rivet bad'!$D11*XLOOKUP('Base case- rivet bad'!$A11,'EPD data'!$A$4:$A$31,'EPD data'!$H$4:$H$31)))</f>
        <v>16.8</v>
      </c>
      <c r="H11" s="66">
        <f t="array" ref="H11">IF('Base case- rivet bad'!$E11="kg",XLOOKUP(A11,'EPD data'!$A$4:$A$31,'EPD data'!$O$4:$O$31),XLOOKUP(A11,'EPD data'!$A$4:$A$31,'EPD data'!$J$4:$J$31))</f>
        <v>0.9724137931</v>
      </c>
      <c r="I11" s="66">
        <f t="array" ref="I11">IF('Base case- rivet bad'!$E11="kg",XLOOKUP(A11,'EPD data'!$A$4:$A$31,'EPD data'!$Q$4:$Q$31),XLOOKUP('Base case- rivet bad'!$A11,'EPD data'!$A$4:$A$31,'EPD data'!$L$4:$L$31))</f>
        <v>1.007931034</v>
      </c>
      <c r="J11" s="60">
        <f t="array" ref="J11">IF('Base case- rivet bad'!$E11="kg",XLOOKUP('Base case- rivet bad'!$A11,'EPD data'!$A$4:$A$31,'EPD data'!$P$4:$P$31),XLOOKUP('Base case- rivet bad'!$A11,'EPD data'!$A$4:$A$31,'EPD data'!$K$4:$K$31))</f>
        <v>0.03551724138</v>
      </c>
      <c r="K11" s="60">
        <f t="array" ref="K11">IF('Base case- rivet bad'!$E11="kg",XLOOKUP(A11,'EPD data'!$A$4:$A$31,'EPD data'!$R$4:$R$31),XLOOKUP('Base case- rivet bad'!$A11,'EPD data'!$A$4:$A$31,'EPD data'!$M$4:$M$31))</f>
        <v>0.01751724138</v>
      </c>
      <c r="L11" s="60">
        <f>'Base case- rivet bad'!$H11*'Base case- rivet bad'!$C11</f>
        <v>2.722758621</v>
      </c>
      <c r="M11" s="60">
        <f>'Base case- rivet bad'!$J11*'Base case- rivet bad'!$C11</f>
        <v>0.09944827586</v>
      </c>
      <c r="N11" s="60">
        <f>SUM('Base case- rivet bad'!$L11:$M11)</f>
        <v>2.822206897</v>
      </c>
      <c r="O11" s="60">
        <f t="shared" si="1"/>
        <v>0.04904827586</v>
      </c>
      <c r="P11" s="61">
        <f t="shared" si="2"/>
        <v>16.33655172</v>
      </c>
      <c r="Q11" s="62">
        <f>'Base case- rivet bad'!$D11*'Base case- rivet bad'!$J11</f>
        <v>0.5966896552</v>
      </c>
      <c r="R11" s="62">
        <f>'Base case- rivet bad'!$D11*'Base case- rivet bad'!$I11</f>
        <v>16.93324138</v>
      </c>
      <c r="S11" s="62">
        <f>'Base case- rivet bad'!$K11*'Base case- rivet bad'!$D11</f>
        <v>0.2942896552</v>
      </c>
      <c r="T11" s="63" t="s">
        <v>82</v>
      </c>
      <c r="U11" s="64" t="s">
        <v>73</v>
      </c>
    </row>
    <row r="12">
      <c r="A12" s="65" t="s">
        <v>83</v>
      </c>
      <c r="B12" s="64" t="s">
        <v>84</v>
      </c>
      <c r="C12" s="64">
        <v>1.0</v>
      </c>
      <c r="D12" s="59">
        <f>IF('Base case- rivet bad'!$E12="kg",'Base case- rivet bad'!$C12*$B$3,'Base case- rivet bad'!$C12)</f>
        <v>6</v>
      </c>
      <c r="E12" s="64" t="s">
        <v>71</v>
      </c>
      <c r="F12" s="59">
        <f t="array" ref="F12">IF('Base case- rivet bad'!$E12="kg",'Base case- rivet bad'!$C12,('Base case- rivet bad'!$C12*XLOOKUP('Base case- rivet bad'!$A12,'EPD data'!$A$4:$A$31,'EPD data'!$H$4:$H$31)))</f>
        <v>1</v>
      </c>
      <c r="G12" s="59">
        <f t="array" ref="G12">IF('Base case- rivet bad'!$E12="kg",'Base case- rivet bad'!$D12,('Base case- rivet bad'!$D12*XLOOKUP('Base case- rivet bad'!$A12,'EPD data'!$A$4:$A$31,'EPD data'!$H$4:$H$31)))</f>
        <v>6</v>
      </c>
      <c r="H12" s="66">
        <f t="array" ref="H12">IF('Base case- rivet bad'!$E12="kg",XLOOKUP(A12,'EPD data'!$A$4:$A$31,'EPD data'!$O$4:$O$31),XLOOKUP(A12,'EPD data'!$A$4:$A$31,'EPD data'!$J$4:$J$31))</f>
        <v>2.6628</v>
      </c>
      <c r="I12" s="66">
        <f t="array" ref="I12">IF('Base case- rivet bad'!$E12="kg",XLOOKUP(A12,'EPD data'!$A$4:$A$31,'EPD data'!$Q$4:$Q$31),XLOOKUP('Base case- rivet bad'!$A12,'EPD data'!$A$4:$A$31,'EPD data'!$L$4:$L$31))</f>
        <v>2.6628</v>
      </c>
      <c r="J12" s="60">
        <f t="array" ref="J12">IF('Base case- rivet bad'!$E12="kg",XLOOKUP('Base case- rivet bad'!$A12,'EPD data'!$A$4:$A$31,'EPD data'!$P$4:$P$31),XLOOKUP('Base case- rivet bad'!$A12,'EPD data'!$A$4:$A$31,'EPD data'!$K$4:$K$31))</f>
        <v>0</v>
      </c>
      <c r="K12" s="60">
        <f t="array" ref="K12">IF('Base case- rivet bad'!$E12="kg",XLOOKUP(A12,'EPD data'!$A$4:$A$31,'EPD data'!$R$4:$R$31),XLOOKUP('Base case- rivet bad'!$A12,'EPD data'!$A$4:$A$31,'EPD data'!$M$4:$M$31))</f>
        <v>0</v>
      </c>
      <c r="L12" s="60">
        <f>'Base case- rivet bad'!$H12*'Base case- rivet bad'!$C12</f>
        <v>2.6628</v>
      </c>
      <c r="M12" s="60">
        <f>'Base case- rivet bad'!$J12*'Base case- rivet bad'!$C12</f>
        <v>0</v>
      </c>
      <c r="N12" s="60">
        <f>SUM('Base case- rivet bad'!$L12:$M12)</f>
        <v>2.6628</v>
      </c>
      <c r="O12" s="60">
        <f t="shared" si="1"/>
        <v>0</v>
      </c>
      <c r="P12" s="61">
        <f t="shared" si="2"/>
        <v>15.9768</v>
      </c>
      <c r="Q12" s="62">
        <f>'Base case- rivet bad'!$D12*'Base case- rivet bad'!$J12</f>
        <v>0</v>
      </c>
      <c r="R12" s="62">
        <f>'Base case- rivet bad'!$D12*'Base case- rivet bad'!$I12</f>
        <v>15.9768</v>
      </c>
      <c r="S12" s="62">
        <f>'Base case- rivet bad'!$K12*'Base case- rivet bad'!$D12</f>
        <v>0</v>
      </c>
      <c r="T12" s="63" t="s">
        <v>85</v>
      </c>
      <c r="U12" s="64" t="s">
        <v>73</v>
      </c>
    </row>
    <row r="13">
      <c r="A13" s="65" t="s">
        <v>86</v>
      </c>
      <c r="B13" s="64" t="s">
        <v>87</v>
      </c>
      <c r="C13" s="70">
        <v>22.5</v>
      </c>
      <c r="D13" s="59">
        <f>IF('Base case- rivet bad'!$E13="kg",'Base case- rivet bad'!$C13*$B$3,'Base case- rivet bad'!$C13)</f>
        <v>135</v>
      </c>
      <c r="E13" s="64" t="s">
        <v>71</v>
      </c>
      <c r="F13" s="59">
        <f t="array" ref="F13">IF('Base case- rivet bad'!$E13="kg",'Base case- rivet bad'!$C13,('Base case- rivet bad'!$C13*XLOOKUP('Base case- rivet bad'!$A13,'EPD data'!$A$4:$A$31,'EPD data'!$H$4:$H$31)))</f>
        <v>22.5</v>
      </c>
      <c r="G13" s="59">
        <f t="array" ref="G13">IF('Base case- rivet bad'!$E13="kg",'Base case- rivet bad'!$D13,('Base case- rivet bad'!$D13*XLOOKUP('Base case- rivet bad'!$A13,'EPD data'!$A$4:$A$31,'EPD data'!$H$4:$H$31)))</f>
        <v>135</v>
      </c>
      <c r="H13" s="66">
        <f t="array" ref="H13">IF('Base case- rivet bad'!$E13="kg",XLOOKUP(A13,'EPD data'!$A$4:$A$31,'EPD data'!$O$4:$O$31),XLOOKUP(A13,'EPD data'!$A$4:$A$31,'EPD data'!$J$4:$J$31))</f>
        <v>0.171</v>
      </c>
      <c r="I13" s="66">
        <f t="array" ref="I13">IF('Base case- rivet bad'!$E13="kg",XLOOKUP(A13,'EPD data'!$A$4:$A$31,'EPD data'!$Q$4:$Q$31),XLOOKUP('Base case- rivet bad'!$A13,'EPD data'!$A$4:$A$31,'EPD data'!$L$4:$L$31))</f>
        <v>0.171</v>
      </c>
      <c r="J13" s="60">
        <f t="array" ref="J13">IF('Base case- rivet bad'!$E13="kg",XLOOKUP('Base case- rivet bad'!$A13,'EPD data'!$A$4:$A$31,'EPD data'!$P$4:$P$31),XLOOKUP('Base case- rivet bad'!$A13,'EPD data'!$A$4:$A$31,'EPD data'!$K$4:$K$31))</f>
        <v>0</v>
      </c>
      <c r="K13" s="60">
        <f t="array" ref="K13">IF('Base case- rivet bad'!$E13="kg",XLOOKUP(A13,'EPD data'!$A$4:$A$31,'EPD data'!$R$4:$R$31),XLOOKUP('Base case- rivet bad'!$A13,'EPD data'!$A$4:$A$31,'EPD data'!$M$4:$M$31))</f>
        <v>0</v>
      </c>
      <c r="L13" s="60">
        <f>'Base case- rivet bad'!$H13*'Base case- rivet bad'!$C13</f>
        <v>3.8475</v>
      </c>
      <c r="M13" s="60">
        <f>'Base case- rivet bad'!$J13*'Base case- rivet bad'!$C13</f>
        <v>0</v>
      </c>
      <c r="N13" s="60">
        <f>SUM('Base case- rivet bad'!$L13:$M13)</f>
        <v>3.8475</v>
      </c>
      <c r="O13" s="60">
        <f t="shared" si="1"/>
        <v>0</v>
      </c>
      <c r="P13" s="61">
        <f t="shared" si="2"/>
        <v>23.085</v>
      </c>
      <c r="Q13" s="62">
        <f>'Base case- rivet bad'!$D13*'Base case- rivet bad'!$J13</f>
        <v>0</v>
      </c>
      <c r="R13" s="62">
        <f>'Base case- rivet bad'!$D13*'Base case- rivet bad'!$I13</f>
        <v>23.085</v>
      </c>
      <c r="S13" s="62">
        <f>'Base case- rivet bad'!$K13*'Base case- rivet bad'!$D13</f>
        <v>0</v>
      </c>
      <c r="T13" s="63" t="s">
        <v>88</v>
      </c>
      <c r="U13" s="64" t="s">
        <v>73</v>
      </c>
    </row>
    <row r="14">
      <c r="A14" s="65" t="s">
        <v>89</v>
      </c>
      <c r="B14" s="64" t="s">
        <v>90</v>
      </c>
      <c r="C14" s="64">
        <v>2.4</v>
      </c>
      <c r="D14" s="59">
        <f>IF('Base case- rivet bad'!$E14="kg",'Base case- rivet bad'!$C14*$B$3,'Base case- rivet bad'!$C14)</f>
        <v>14.4</v>
      </c>
      <c r="E14" s="64" t="s">
        <v>71</v>
      </c>
      <c r="F14" s="59">
        <f t="array" ref="F14">IF('Base case- rivet bad'!$E14="kg",'Base case- rivet bad'!$C14,('Base case- rivet bad'!$C14*XLOOKUP('Base case- rivet bad'!$A14,'EPD data'!$A$4:$A$31,'EPD data'!$H$4:$H$31)))</f>
        <v>2.4</v>
      </c>
      <c r="G14" s="59">
        <f t="array" ref="G14">IF('Base case- rivet bad'!$E14="kg",'Base case- rivet bad'!$D14,('Base case- rivet bad'!$D14*XLOOKUP('Base case- rivet bad'!$A14,'EPD data'!$A$4:$A$31,'EPD data'!$H$4:$H$31)))</f>
        <v>14.4</v>
      </c>
      <c r="H14" s="66">
        <f t="array" ref="H14">IF('Base case- rivet bad'!$E14="kg",XLOOKUP(A14,'EPD data'!$A$4:$A$31,'EPD data'!$O$4:$O$31),XLOOKUP(A14,'EPD data'!$A$4:$A$31,'EPD data'!$J$4:$J$31))</f>
        <v>0.393</v>
      </c>
      <c r="I14" s="66">
        <f t="array" ref="I14">IF('Base case- rivet bad'!$E14="kg",XLOOKUP(A14,'EPD data'!$A$4:$A$31,'EPD data'!$Q$4:$Q$31),XLOOKUP('Base case- rivet bad'!$A14,'EPD data'!$A$4:$A$31,'EPD data'!$L$4:$L$31))</f>
        <v>0.4032</v>
      </c>
      <c r="J14" s="60">
        <f t="array" ref="J14">IF('Base case- rivet bad'!$E14="kg",XLOOKUP('Base case- rivet bad'!$A14,'EPD data'!$A$4:$A$31,'EPD data'!$P$4:$P$31),XLOOKUP('Base case- rivet bad'!$A14,'EPD data'!$A$4:$A$31,'EPD data'!$K$4:$K$31))</f>
        <v>0.0102</v>
      </c>
      <c r="K14" s="60">
        <f t="array" ref="K14">IF('Base case- rivet bad'!$E14="kg",XLOOKUP(A14,'EPD data'!$A$4:$A$31,'EPD data'!$R$4:$R$31),XLOOKUP('Base case- rivet bad'!$A14,'EPD data'!$A$4:$A$31,'EPD data'!$M$4:$M$31))</f>
        <v>0.067994</v>
      </c>
      <c r="L14" s="60">
        <f>'Base case- rivet bad'!$H14*'Base case- rivet bad'!$C14</f>
        <v>0.9432</v>
      </c>
      <c r="M14" s="60">
        <f>'Base case- rivet bad'!$J14*'Base case- rivet bad'!$C14</f>
        <v>0.02448</v>
      </c>
      <c r="N14" s="60">
        <f>SUM('Base case- rivet bad'!$L14:$M14)</f>
        <v>0.96768</v>
      </c>
      <c r="O14" s="60">
        <f t="shared" si="1"/>
        <v>0.1631856</v>
      </c>
      <c r="P14" s="61">
        <f t="shared" si="2"/>
        <v>5.6592</v>
      </c>
      <c r="Q14" s="62">
        <f>'Base case- rivet bad'!$D14*'Base case- rivet bad'!$J14</f>
        <v>0.14688</v>
      </c>
      <c r="R14" s="62">
        <f>'Base case- rivet bad'!$D14*'Base case- rivet bad'!$I14</f>
        <v>5.80608</v>
      </c>
      <c r="S14" s="62">
        <f>'Base case- rivet bad'!$K14*'Base case- rivet bad'!$D14</f>
        <v>0.9791136</v>
      </c>
      <c r="T14" s="63" t="s">
        <v>91</v>
      </c>
      <c r="U14" s="64" t="s">
        <v>73</v>
      </c>
    </row>
    <row r="15">
      <c r="A15" s="65" t="s">
        <v>92</v>
      </c>
      <c r="B15" s="64" t="s">
        <v>93</v>
      </c>
      <c r="C15" s="64">
        <v>2.4</v>
      </c>
      <c r="D15" s="59">
        <f>IF('Base case- rivet bad'!$E15="kg",'Base case- rivet bad'!$C15*$B$3,'Base case- rivet bad'!$C15)</f>
        <v>14.4</v>
      </c>
      <c r="E15" s="64" t="s">
        <v>71</v>
      </c>
      <c r="F15" s="59">
        <f t="array" ref="F15">IF('Base case- rivet bad'!$E15="kg",'Base case- rivet bad'!$C15,('Base case- rivet bad'!$C15*XLOOKUP('Base case- rivet bad'!$A15,'EPD data'!$A$4:$A$31,'EPD data'!$H$4:$H$31)))</f>
        <v>2.4</v>
      </c>
      <c r="G15" s="59">
        <f t="array" ref="G15">IF('Base case- rivet bad'!$E15="kg",'Base case- rivet bad'!$D15,('Base case- rivet bad'!$D15*XLOOKUP('Base case- rivet bad'!$A15,'EPD data'!$A$4:$A$31,'EPD data'!$H$4:$H$31)))</f>
        <v>14.4</v>
      </c>
      <c r="H15" s="66">
        <f t="array" ref="H15">IF('Base case- rivet bad'!$E15="kg",XLOOKUP(A15,'EPD data'!$A$4:$A$31,'EPD data'!$O$4:$O$31),XLOOKUP(A15,'EPD data'!$A$4:$A$31,'EPD data'!$J$4:$J$31))</f>
        <v>4.537815126</v>
      </c>
      <c r="I15" s="66">
        <f t="array" ref="I15">IF('Base case- rivet bad'!$E15="kg",XLOOKUP(A15,'EPD data'!$A$4:$A$31,'EPD data'!$Q$4:$Q$31),XLOOKUP('Base case- rivet bad'!$A15,'EPD data'!$A$4:$A$31,'EPD data'!$L$4:$L$31))</f>
        <v>4.601120448</v>
      </c>
      <c r="J15" s="60">
        <f t="array" ref="J15">IF('Base case- rivet bad'!$E15="kg",XLOOKUP('Base case- rivet bad'!$A15,'EPD data'!$A$4:$A$31,'EPD data'!$P$4:$P$31),XLOOKUP('Base case- rivet bad'!$A15,'EPD data'!$A$4:$A$31,'EPD data'!$K$4:$K$31))</f>
        <v>0.06330532213</v>
      </c>
      <c r="K15" s="60">
        <f t="array" ref="K15">IF('Base case- rivet bad'!$E15="kg",XLOOKUP(A15,'EPD data'!$A$4:$A$31,'EPD data'!$R$4:$R$31),XLOOKUP('Base case- rivet bad'!$A15,'EPD data'!$A$4:$A$31,'EPD data'!$M$4:$M$31))</f>
        <v>0.8642408964</v>
      </c>
      <c r="L15" s="60">
        <f>'Base case- rivet bad'!$H15*'Base case- rivet bad'!$C15</f>
        <v>10.8907563</v>
      </c>
      <c r="M15" s="60">
        <f>'Base case- rivet bad'!$J15*'Base case- rivet bad'!$C15</f>
        <v>0.1519327731</v>
      </c>
      <c r="N15" s="60">
        <f>SUM('Base case- rivet bad'!$L15:$M15)</f>
        <v>11.04268908</v>
      </c>
      <c r="O15" s="60">
        <f t="shared" si="1"/>
        <v>2.074178151</v>
      </c>
      <c r="P15" s="61">
        <f t="shared" si="2"/>
        <v>65.34453782</v>
      </c>
      <c r="Q15" s="62">
        <f>'Base case- rivet bad'!$D15*'Base case- rivet bad'!$J15</f>
        <v>0.9115966387</v>
      </c>
      <c r="R15" s="62">
        <f>'Base case- rivet bad'!$D15*'Base case- rivet bad'!$I15</f>
        <v>66.25613445</v>
      </c>
      <c r="S15" s="62">
        <f>'Base case- rivet bad'!$K15*'Base case- rivet bad'!$D15</f>
        <v>12.44506891</v>
      </c>
      <c r="T15" s="63" t="s">
        <v>94</v>
      </c>
      <c r="U15" s="64" t="s">
        <v>73</v>
      </c>
    </row>
    <row r="16">
      <c r="A16" s="65" t="s">
        <v>95</v>
      </c>
      <c r="B16" s="64" t="s">
        <v>96</v>
      </c>
      <c r="C16" s="64">
        <v>18.6</v>
      </c>
      <c r="D16" s="59">
        <f>IF('Base case- rivet bad'!$E16="kg",'Base case- rivet bad'!$C16*$B$3,'Base case- rivet bad'!$C16)</f>
        <v>111.6</v>
      </c>
      <c r="E16" s="64" t="s">
        <v>71</v>
      </c>
      <c r="F16" s="59">
        <f t="array" ref="F16">IF('Base case- rivet bad'!$E16="kg",'Base case- rivet bad'!$C16,('Base case- rivet bad'!$C16*XLOOKUP('Base case- rivet bad'!$A16,'EPD data'!$A$4:$A$31,'EPD data'!$H$4:$H$31)))</f>
        <v>18.6</v>
      </c>
      <c r="G16" s="59">
        <f t="array" ref="G16">IF('Base case- rivet bad'!$E16="kg",'Base case- rivet bad'!$D16,('Base case- rivet bad'!$D16*XLOOKUP('Base case- rivet bad'!$A16,'EPD data'!$A$4:$A$31,'EPD data'!$H$4:$H$31)))</f>
        <v>111.6</v>
      </c>
      <c r="H16" s="66">
        <f t="array" ref="H16">IF('Base case- rivet bad'!$E16="kg",XLOOKUP(A16,'EPD data'!$A$4:$A$31,'EPD data'!$O$4:$O$31),XLOOKUP(A16,'EPD data'!$A$4:$A$31,'EPD data'!$J$4:$J$31))</f>
        <v>0.1791953116</v>
      </c>
      <c r="I16" s="66">
        <f t="array" ref="I16">IF('Base case- rivet bad'!$E16="kg",XLOOKUP(A16,'EPD data'!$A$4:$A$31,'EPD data'!$Q$4:$Q$31),XLOOKUP('Base case- rivet bad'!$A16,'EPD data'!$A$4:$A$31,'EPD data'!$L$4:$L$31))</f>
        <v>0.2087230925</v>
      </c>
      <c r="J16" s="60">
        <f t="array" ref="J16">IF('Base case- rivet bad'!$E16="kg",XLOOKUP('Base case- rivet bad'!$A16,'EPD data'!$A$4:$A$31,'EPD data'!$P$4:$P$31),XLOOKUP('Base case- rivet bad'!$A16,'EPD data'!$A$4:$A$31,'EPD data'!$K$4:$K$31))</f>
        <v>0.02952778091</v>
      </c>
      <c r="K16" s="60">
        <f t="array" ref="K16">IF('Base case- rivet bad'!$E16="kg",XLOOKUP(A16,'EPD data'!$A$4:$A$31,'EPD data'!$R$4:$R$31),XLOOKUP('Base case- rivet bad'!$A16,'EPD data'!$A$4:$A$31,'EPD data'!$M$4:$M$31))</f>
        <v>0.1018078102</v>
      </c>
      <c r="L16" s="60">
        <f>'Base case- rivet bad'!$H16*'Base case- rivet bad'!$C16</f>
        <v>3.333032796</v>
      </c>
      <c r="M16" s="60">
        <f>'Base case- rivet bad'!$J16*'Base case- rivet bad'!$C16</f>
        <v>0.5492167249</v>
      </c>
      <c r="N16" s="60">
        <f>SUM('Base case- rivet bad'!$L16:$M16)</f>
        <v>3.882249521</v>
      </c>
      <c r="O16" s="60">
        <f t="shared" si="1"/>
        <v>1.89362527</v>
      </c>
      <c r="P16" s="61">
        <f t="shared" si="2"/>
        <v>19.99819678</v>
      </c>
      <c r="Q16" s="62">
        <f>'Base case- rivet bad'!$D16*'Base case- rivet bad'!$J16</f>
        <v>3.295300349</v>
      </c>
      <c r="R16" s="62">
        <f>'Base case- rivet bad'!$D16*'Base case- rivet bad'!$I16</f>
        <v>23.29349713</v>
      </c>
      <c r="S16" s="62">
        <f>'Base case- rivet bad'!$K16*'Base case- rivet bad'!$D16</f>
        <v>11.36175162</v>
      </c>
      <c r="T16" s="63" t="s">
        <v>97</v>
      </c>
      <c r="U16" s="64" t="s">
        <v>73</v>
      </c>
    </row>
    <row r="17" ht="15.75" customHeight="1">
      <c r="A17" s="65" t="s">
        <v>98</v>
      </c>
      <c r="B17" s="64" t="s">
        <v>99</v>
      </c>
      <c r="C17" s="64">
        <v>0.2</v>
      </c>
      <c r="D17" s="59">
        <f>IF('Base case- rivet bad'!$E17="kg",'Base case- rivet bad'!$C17*$B$3,'Base case- rivet bad'!$C17)</f>
        <v>1.2</v>
      </c>
      <c r="E17" s="64" t="s">
        <v>71</v>
      </c>
      <c r="F17" s="59">
        <f t="array" ref="F17">IF('Base case- rivet bad'!$E17="kg",'Base case- rivet bad'!$C17,('Base case- rivet bad'!$C17*XLOOKUP('Base case- rivet bad'!$A17,'EPD data'!$A$4:$A$31,'EPD data'!$H$4:$H$31)))</f>
        <v>0.2</v>
      </c>
      <c r="G17" s="59">
        <f t="array" ref="G17">IF('Base case- rivet bad'!$E17="kg",'Base case- rivet bad'!$D17,('Base case- rivet bad'!$D17*XLOOKUP('Base case- rivet bad'!$A17,'EPD data'!$A$4:$A$31,'EPD data'!$H$4:$H$31)))</f>
        <v>1.2</v>
      </c>
      <c r="H17" s="66">
        <f t="array" ref="H17">IF('Base case- rivet bad'!$E17="kg",XLOOKUP(A17,'EPD data'!$A$4:$A$31,'EPD data'!$O$4:$O$31),XLOOKUP(A17,'EPD data'!$A$4:$A$31,'EPD data'!$J$4:$J$31))</f>
        <v>4.0233</v>
      </c>
      <c r="I17" s="66">
        <f t="array" ref="I17">IF('Base case- rivet bad'!$E17="kg",XLOOKUP(A17,'EPD data'!$A$4:$A$31,'EPD data'!$Q$4:$Q$31),XLOOKUP('Base case- rivet bad'!$A17,'EPD data'!$A$4:$A$31,'EPD data'!$L$4:$L$31))</f>
        <v>4.0233</v>
      </c>
      <c r="J17" s="60">
        <f t="array" ref="J17">IF('Base case- rivet bad'!$E17="kg",XLOOKUP('Base case- rivet bad'!$A17,'EPD data'!$A$4:$A$31,'EPD data'!$P$4:$P$31),XLOOKUP('Base case- rivet bad'!$A17,'EPD data'!$A$4:$A$31,'EPD data'!$K$4:$K$31))</f>
        <v>0</v>
      </c>
      <c r="K17" s="60">
        <f t="array" ref="K17">IF('Base case- rivet bad'!$E17="kg",XLOOKUP(A17,'EPD data'!$A$4:$A$31,'EPD data'!$R$4:$R$31),XLOOKUP('Base case- rivet bad'!$A17,'EPD data'!$A$4:$A$31,'EPD data'!$M$4:$M$31))</f>
        <v>0</v>
      </c>
      <c r="L17" s="60">
        <f>'Base case- rivet bad'!$H17*'Base case- rivet bad'!$C17</f>
        <v>0.80466</v>
      </c>
      <c r="M17" s="60">
        <f>'Base case- rivet bad'!$J17*'Base case- rivet bad'!$C17</f>
        <v>0</v>
      </c>
      <c r="N17" s="60">
        <f>SUM('Base case- rivet bad'!$L17:$M17)</f>
        <v>0.80466</v>
      </c>
      <c r="O17" s="60">
        <f t="shared" si="1"/>
        <v>0</v>
      </c>
      <c r="P17" s="61">
        <f t="shared" si="2"/>
        <v>4.82796</v>
      </c>
      <c r="Q17" s="62">
        <f>'Base case- rivet bad'!$D17*'Base case- rivet bad'!$J17</f>
        <v>0</v>
      </c>
      <c r="R17" s="62">
        <f>'Base case- rivet bad'!$D17*'Base case- rivet bad'!$I17</f>
        <v>4.82796</v>
      </c>
      <c r="S17" s="62">
        <f>'Base case- rivet bad'!$K17*'Base case- rivet bad'!$D17</f>
        <v>0</v>
      </c>
      <c r="T17" s="71" t="s">
        <v>100</v>
      </c>
      <c r="U17" s="72" t="s">
        <v>101</v>
      </c>
    </row>
    <row r="18">
      <c r="A18" s="65" t="s">
        <v>102</v>
      </c>
      <c r="B18" s="64"/>
      <c r="C18" s="64">
        <v>2.4</v>
      </c>
      <c r="D18" s="59">
        <f>IF('Base case- rivet bad'!$E18="kg",'Base case- rivet bad'!$C18*$B$3,'Base case- rivet bad'!$C18)</f>
        <v>14.4</v>
      </c>
      <c r="E18" s="64" t="s">
        <v>71</v>
      </c>
      <c r="F18" s="59">
        <f t="array" ref="F18">IF('Base case- rivet bad'!$E18="kg",'Base case- rivet bad'!$C18,('Base case- rivet bad'!$C18*XLOOKUP('Base case- rivet bad'!$A18,'EPD data'!$A$4:$A$31,'EPD data'!$H$4:$H$31)))</f>
        <v>2.4</v>
      </c>
      <c r="G18" s="59">
        <f t="array" ref="G18">IF('Base case- rivet bad'!$E18="kg",'Base case- rivet bad'!$D18,('Base case- rivet bad'!$D18*XLOOKUP('Base case- rivet bad'!$A18,'EPD data'!$A$4:$A$31,'EPD data'!$H$4:$H$31)))</f>
        <v>14.4</v>
      </c>
      <c r="H18" s="66">
        <f t="array" ref="H18">IF('Base case- rivet bad'!$E18="kg",XLOOKUP(A18,'EPD data'!$A$4:$A$31,'EPD data'!$O$4:$O$31),XLOOKUP(A18,'EPD data'!$A$4:$A$31,'EPD data'!$J$4:$J$31))</f>
        <v>1.36</v>
      </c>
      <c r="I18" s="66">
        <f t="array" ref="I18">IF('Base case- rivet bad'!$E18="kg",XLOOKUP(A18,'EPD data'!$A$4:$A$31,'EPD data'!$Q$4:$Q$31),XLOOKUP('Base case- rivet bad'!$A18,'EPD data'!$A$4:$A$31,'EPD data'!$L$4:$L$31))</f>
        <v>1.4106</v>
      </c>
      <c r="J18" s="60">
        <f t="array" ref="J18">IF('Base case- rivet bad'!$E18="kg",XLOOKUP('Base case- rivet bad'!$A18,'EPD data'!$A$4:$A$31,'EPD data'!$P$4:$P$31),XLOOKUP('Base case- rivet bad'!$A18,'EPD data'!$A$4:$A$31,'EPD data'!$K$4:$K$31))</f>
        <v>0.0506</v>
      </c>
      <c r="K18" s="60">
        <f t="array" ref="K18">IF('Base case- rivet bad'!$E18="kg",XLOOKUP(A18,'EPD data'!$A$4:$A$31,'EPD data'!$R$4:$R$31),XLOOKUP('Base case- rivet bad'!$A18,'EPD data'!$A$4:$A$31,'EPD data'!$M$4:$M$31))</f>
        <v>0.441066</v>
      </c>
      <c r="L18" s="60">
        <f>'Base case- rivet bad'!$H18*'Base case- rivet bad'!$C18</f>
        <v>3.264</v>
      </c>
      <c r="M18" s="60">
        <f>'Base case- rivet bad'!$J18*'Base case- rivet bad'!$C18</f>
        <v>0.12144</v>
      </c>
      <c r="N18" s="60">
        <f>SUM('Base case- rivet bad'!$L18:$M18)</f>
        <v>3.38544</v>
      </c>
      <c r="O18" s="60">
        <f t="shared" si="1"/>
        <v>1.0585584</v>
      </c>
      <c r="P18" s="61">
        <f t="shared" si="2"/>
        <v>19.584</v>
      </c>
      <c r="Q18" s="62">
        <f>'Base case- rivet bad'!$D18*'Base case- rivet bad'!$J18</f>
        <v>0.72864</v>
      </c>
      <c r="R18" s="62">
        <f>'Base case- rivet bad'!$D18*'Base case- rivet bad'!$I18</f>
        <v>20.31264</v>
      </c>
      <c r="S18" s="62">
        <f>'Base case- rivet bad'!$K18*'Base case- rivet bad'!$D18</f>
        <v>6.3513504</v>
      </c>
      <c r="T18" s="71" t="s">
        <v>103</v>
      </c>
      <c r="U18" s="64" t="s">
        <v>73</v>
      </c>
    </row>
    <row r="19">
      <c r="A19" s="65" t="s">
        <v>104</v>
      </c>
      <c r="B19" s="64" t="s">
        <v>105</v>
      </c>
      <c r="C19" s="64">
        <v>4.8</v>
      </c>
      <c r="D19" s="59">
        <f>IF('Base case- rivet bad'!$E19="kg",'Base case- rivet bad'!$C19*$B$3,'Base case- rivet bad'!$C19)</f>
        <v>28.8</v>
      </c>
      <c r="E19" s="64" t="s">
        <v>71</v>
      </c>
      <c r="F19" s="59">
        <f t="array" ref="F19">IF('Base case- rivet bad'!$E19="kg",'Base case- rivet bad'!$C19,('Base case- rivet bad'!$C19*XLOOKUP('Base case- rivet bad'!$A19,'EPD data'!$A$4:$A$31,'EPD data'!$H$4:$H$31)))</f>
        <v>4.8</v>
      </c>
      <c r="G19" s="59">
        <f t="array" ref="G19">IF('Base case- rivet bad'!$E19="kg",'Base case- rivet bad'!$D19,('Base case- rivet bad'!$D19*XLOOKUP('Base case- rivet bad'!$A19,'EPD data'!$A$4:$A$31,'EPD data'!$H$4:$H$31)))</f>
        <v>28.8</v>
      </c>
      <c r="H19" s="66">
        <f t="array" ref="H19">IF('Base case- rivet bad'!$E19="kg",XLOOKUP(A19,'EPD data'!$A$4:$A$31,'EPD data'!$O$4:$O$31),XLOOKUP(A19,'EPD data'!$A$4:$A$31,'EPD data'!$J$4:$J$31))</f>
        <v>3.1</v>
      </c>
      <c r="I19" s="66">
        <f t="array" ref="I19">IF('Base case- rivet bad'!$E19="kg",XLOOKUP(A19,'EPD data'!$A$4:$A$31,'EPD data'!$Q$4:$Q$31),XLOOKUP('Base case- rivet bad'!$A19,'EPD data'!$A$4:$A$31,'EPD data'!$L$4:$L$31))</f>
        <v>3.344</v>
      </c>
      <c r="J19" s="60">
        <f t="array" ref="J19">IF('Base case- rivet bad'!$E19="kg",XLOOKUP('Base case- rivet bad'!$A19,'EPD data'!$A$4:$A$31,'EPD data'!$P$4:$P$31),XLOOKUP('Base case- rivet bad'!$A19,'EPD data'!$A$4:$A$31,'EPD data'!$K$4:$K$31))</f>
        <v>0.244</v>
      </c>
      <c r="K19" s="60">
        <f t="array" ref="K19">IF('Base case- rivet bad'!$E19="kg",XLOOKUP(A19,'EPD data'!$A$4:$A$31,'EPD data'!$R$4:$R$31),XLOOKUP('Base case- rivet bad'!$A19,'EPD data'!$A$4:$A$31,'EPD data'!$M$4:$M$31))</f>
        <v>3.03866</v>
      </c>
      <c r="L19" s="60">
        <f>'Base case- rivet bad'!$H19*'Base case- rivet bad'!$C19</f>
        <v>14.88</v>
      </c>
      <c r="M19" s="60">
        <f>'Base case- rivet bad'!$J19*'Base case- rivet bad'!$C19</f>
        <v>1.1712</v>
      </c>
      <c r="N19" s="60">
        <f>SUM('Base case- rivet bad'!$L19:$M19)</f>
        <v>16.0512</v>
      </c>
      <c r="O19" s="60">
        <f t="shared" si="1"/>
        <v>14.585568</v>
      </c>
      <c r="P19" s="61">
        <f t="shared" si="2"/>
        <v>89.28</v>
      </c>
      <c r="Q19" s="62">
        <f>'Base case- rivet bad'!$D19*'Base case- rivet bad'!$J19</f>
        <v>7.0272</v>
      </c>
      <c r="R19" s="62">
        <f>'Base case- rivet bad'!$D19*'Base case- rivet bad'!$I19</f>
        <v>96.3072</v>
      </c>
      <c r="S19" s="62">
        <f>'Base case- rivet bad'!$K19*'Base case- rivet bad'!$D19</f>
        <v>87.513408</v>
      </c>
      <c r="T19" s="63" t="s">
        <v>106</v>
      </c>
      <c r="U19" s="64" t="s">
        <v>73</v>
      </c>
    </row>
    <row r="20" ht="14.25" customHeight="1">
      <c r="A20" s="73" t="s">
        <v>107</v>
      </c>
      <c r="B20" s="74" t="s">
        <v>108</v>
      </c>
      <c r="C20" s="75" t="s">
        <v>109</v>
      </c>
      <c r="D20" s="59"/>
      <c r="E20" s="74"/>
      <c r="F20" s="59"/>
      <c r="G20" s="59"/>
      <c r="H20" s="76"/>
      <c r="I20" s="76"/>
      <c r="J20" s="76"/>
      <c r="K20" s="76"/>
      <c r="L20" s="60"/>
      <c r="M20" s="60"/>
      <c r="N20" s="60"/>
      <c r="O20" s="60"/>
      <c r="P20" s="61"/>
      <c r="Q20" s="62"/>
      <c r="R20" s="62"/>
      <c r="S20" s="62"/>
      <c r="T20" s="78"/>
      <c r="U20" s="64" t="s">
        <v>73</v>
      </c>
    </row>
    <row r="21" ht="14.25" customHeight="1">
      <c r="A21" s="64" t="s">
        <v>110</v>
      </c>
      <c r="B21" s="64" t="s">
        <v>108</v>
      </c>
      <c r="C21" s="79">
        <f>IF(B3&lt;=12,4,IF(B3&lt;18,6,IF(B3&lt;=24,8,IF(B3&lt;=28,10,IF(B3&lt;=32,12,12)))))</f>
        <v>4</v>
      </c>
      <c r="D21" s="80">
        <f>IF('Base case- rivet bad'!$E21="kg",'Base case- rivet bad'!$C21*$B$3,'Base case- rivet bad'!$C21)</f>
        <v>4</v>
      </c>
      <c r="E21" s="79" t="s">
        <v>111</v>
      </c>
      <c r="F21" s="59">
        <f t="array" ref="F21">IF('Base case- rivet bad'!$E21="kg",'Base case- rivet bad'!$C21,('Base case- rivet bad'!$C21*XLOOKUP('Base case- rivet bad'!$A21,'EPD data'!$A$4:$A$31,'EPD data'!$H$4:$H$31)))</f>
        <v>5.48</v>
      </c>
      <c r="G21" s="59">
        <f t="array" ref="G21">IF('Base case- rivet bad'!$E21="kg",'Base case- rivet bad'!$D21,('Base case- rivet bad'!$D21*XLOOKUP('Base case- rivet bad'!$A21,'EPD data'!$A$4:$A$31,'EPD data'!$H$4:$H$31)))</f>
        <v>5.48</v>
      </c>
      <c r="H21" s="66">
        <f t="array" ref="H21">IF('Base case- rivet bad'!$E21="kg",XLOOKUP(A21,'EPD data'!$A$4:$A$31,'EPD data'!$O$4:$O$31),XLOOKUP(A21,'EPD data'!$A$4:$A$31,'EPD data'!$J$4:$J$31))</f>
        <v>21.421</v>
      </c>
      <c r="I21" s="66">
        <f t="array" ref="I21">IF('Base case- rivet bad'!$E21="kg",XLOOKUP(A21,'EPD data'!$A$4:$A$31,'EPD data'!$Q$4:$Q$31),XLOOKUP('Base case- rivet bad'!$A21,'EPD data'!$A$4:$A$31,'EPD data'!$L$4:$L$31))</f>
        <v>21.823</v>
      </c>
      <c r="J21" s="60">
        <f t="array" ref="J21">IF('Base case- rivet bad'!$E21="kg",XLOOKUP('Base case- rivet bad'!$A21,'EPD data'!$A$4:$A$31,'EPD data'!$P$4:$P$31),XLOOKUP('Base case- rivet bad'!$A21,'EPD data'!$A$4:$A$31,'EPD data'!$K$4:$K$31))</f>
        <v>0.402</v>
      </c>
      <c r="K21" s="60">
        <f t="array" ref="K21">IF('Base case- rivet bad'!$E21="kg",XLOOKUP(A21,'EPD data'!$A$4:$A$31,'EPD data'!$R$4:$R$31),XLOOKUP('Base case- rivet bad'!$A21,'EPD data'!$A$4:$A$31,'EPD data'!$M$4:$M$31))</f>
        <v>0.4476</v>
      </c>
      <c r="L21" s="60">
        <f>'Base case- rivet bad'!$H21*'Base case- rivet bad'!$C21</f>
        <v>85.684</v>
      </c>
      <c r="M21" s="60">
        <f>'Base case- rivet bad'!$J21*'Base case- rivet bad'!$C21</f>
        <v>1.608</v>
      </c>
      <c r="N21" s="60">
        <f>SUM('Base case- rivet bad'!$L21:$M21)</f>
        <v>87.292</v>
      </c>
      <c r="O21" s="60">
        <f t="shared" ref="O21:O33" si="3">IFERROR(K21*C21,0)</f>
        <v>1.7904</v>
      </c>
      <c r="P21" s="61">
        <f t="shared" ref="P21:P33" si="4">IFERROR(H21*$D21,0)</f>
        <v>85.684</v>
      </c>
      <c r="Q21" s="62">
        <f>'Base case- rivet bad'!$D21*'Base case- rivet bad'!$J21</f>
        <v>1.608</v>
      </c>
      <c r="R21" s="62">
        <f>'Base case- rivet bad'!$D21*'Base case- rivet bad'!$I21</f>
        <v>87.292</v>
      </c>
      <c r="S21" s="62">
        <f>'Base case- rivet bad'!$K21*'Base case- rivet bad'!$D21</f>
        <v>1.7904</v>
      </c>
      <c r="T21" s="63" t="s">
        <v>112</v>
      </c>
      <c r="U21" s="64" t="s">
        <v>113</v>
      </c>
    </row>
    <row r="22" ht="14.25" customHeight="1">
      <c r="A22" s="64" t="s">
        <v>114</v>
      </c>
      <c r="B22" s="64" t="s">
        <v>108</v>
      </c>
      <c r="C22" s="74">
        <v>1.0</v>
      </c>
      <c r="D22" s="80">
        <f>IF('Base case- rivet bad'!$E22="kg",'Base case- rivet bad'!$C22*$B$3,'Base case- rivet bad'!$C22)</f>
        <v>1</v>
      </c>
      <c r="E22" s="74" t="s">
        <v>111</v>
      </c>
      <c r="F22" s="59">
        <f t="array" ref="F22">IF('Base case- rivet bad'!$E22="kg",'Base case- rivet bad'!$C22,('Base case- rivet bad'!$C22*XLOOKUP('Base case- rivet bad'!$A22,'EPD data'!$A$4:$A$31,'EPD data'!$H$4:$H$31)))</f>
        <v>0.121</v>
      </c>
      <c r="G22" s="59">
        <f t="array" ref="G22">IF('Base case- rivet bad'!$E22="kg",'Base case- rivet bad'!$D22,('Base case- rivet bad'!$D22*XLOOKUP('Base case- rivet bad'!$A22,'EPD data'!$A$4:$A$31,'EPD data'!$H$4:$H$31)))</f>
        <v>0.121</v>
      </c>
      <c r="H22" s="66">
        <f t="array" ref="H22">IF('Base case- rivet bad'!$E22="kg",XLOOKUP(A22,'EPD data'!$A$4:$A$31,'EPD data'!$O$4:$O$31),XLOOKUP(A22,'EPD data'!$A$4:$A$31,'EPD data'!$J$4:$J$31))</f>
        <v>0.575</v>
      </c>
      <c r="I22" s="66">
        <f t="array" ref="I22">IF('Base case- rivet bad'!$E22="kg",XLOOKUP(A22,'EPD data'!$A$4:$A$31,'EPD data'!$Q$4:$Q$31),XLOOKUP('Base case- rivet bad'!$A22,'EPD data'!$A$4:$A$31,'EPD data'!$L$4:$L$31))</f>
        <v>0.5906</v>
      </c>
      <c r="J22" s="60">
        <f t="array" ref="J22">IF('Base case- rivet bad'!$E22="kg",XLOOKUP('Base case- rivet bad'!$A22,'EPD data'!$A$4:$A$31,'EPD data'!$P$4:$P$31),XLOOKUP('Base case- rivet bad'!$A22,'EPD data'!$A$4:$A$31,'EPD data'!$K$4:$K$31))</f>
        <v>0.0156</v>
      </c>
      <c r="K22" s="60">
        <f t="array" ref="K22">IF('Base case- rivet bad'!$E22="kg",XLOOKUP(A22,'EPD data'!$A$4:$A$31,'EPD data'!$R$4:$R$31),XLOOKUP('Base case- rivet bad'!$A22,'EPD data'!$A$4:$A$31,'EPD data'!$M$4:$M$31))</f>
        <v>0.0213</v>
      </c>
      <c r="L22" s="60">
        <f>'Base case- rivet bad'!$H22*'Base case- rivet bad'!$C22</f>
        <v>0.575</v>
      </c>
      <c r="M22" s="60">
        <f>'Base case- rivet bad'!$J22*'Base case- rivet bad'!$C22</f>
        <v>0.0156</v>
      </c>
      <c r="N22" s="60">
        <f>SUM('Base case- rivet bad'!$L22:$M22)</f>
        <v>0.5906</v>
      </c>
      <c r="O22" s="60">
        <f t="shared" si="3"/>
        <v>0.0213</v>
      </c>
      <c r="P22" s="61">
        <f t="shared" si="4"/>
        <v>0.575</v>
      </c>
      <c r="Q22" s="62">
        <f>'Base case- rivet bad'!$D22*'Base case- rivet bad'!$J22</f>
        <v>0.0156</v>
      </c>
      <c r="R22" s="62">
        <f>'Base case- rivet bad'!$D22*'Base case- rivet bad'!$I22</f>
        <v>0.5906</v>
      </c>
      <c r="S22" s="62">
        <f>'Base case- rivet bad'!$K22*'Base case- rivet bad'!$D22</f>
        <v>0.0213</v>
      </c>
      <c r="T22" s="63" t="s">
        <v>115</v>
      </c>
      <c r="U22" s="64" t="s">
        <v>113</v>
      </c>
    </row>
    <row r="23" ht="14.25" customHeight="1">
      <c r="A23" s="64" t="s">
        <v>116</v>
      </c>
      <c r="B23" s="64" t="s">
        <v>108</v>
      </c>
      <c r="C23" s="74">
        <v>1.0</v>
      </c>
      <c r="D23" s="80">
        <f>IF('Base case- rivet bad'!$E23="kg",'Base case- rivet bad'!$C23*$B$3,'Base case- rivet bad'!$C23)</f>
        <v>1</v>
      </c>
      <c r="E23" s="74" t="s">
        <v>111</v>
      </c>
      <c r="F23" s="59">
        <f t="array" ref="F23">IF('Base case- rivet bad'!$E23="kg",'Base case- rivet bad'!$C23,('Base case- rivet bad'!$C23*XLOOKUP('Base case- rivet bad'!$A23,'EPD data'!$A$4:$A$31,'EPD data'!$H$4:$H$31)))</f>
        <v>2.39</v>
      </c>
      <c r="G23" s="59">
        <f t="array" ref="G23">IF('Base case- rivet bad'!$E23="kg",'Base case- rivet bad'!$D23,('Base case- rivet bad'!$D23*XLOOKUP('Base case- rivet bad'!$A23,'EPD data'!$A$4:$A$31,'EPD data'!$H$4:$H$31)))</f>
        <v>2.39</v>
      </c>
      <c r="H23" s="66">
        <f t="array" ref="H23">IF('Base case- rivet bad'!$E23="kg",XLOOKUP(A23,'EPD data'!$A$4:$A$31,'EPD data'!$O$4:$O$31),XLOOKUP(A23,'EPD data'!$A$4:$A$31,'EPD data'!$J$4:$J$31))</f>
        <v>5.62</v>
      </c>
      <c r="I23" s="66">
        <f t="array" ref="I23">IF('Base case- rivet bad'!$E23="kg",XLOOKUP(A23,'EPD data'!$A$4:$A$31,'EPD data'!$Q$4:$Q$31),XLOOKUP('Base case- rivet bad'!$A23,'EPD data'!$A$4:$A$31,'EPD data'!$L$4:$L$31))</f>
        <v>5.811</v>
      </c>
      <c r="J23" s="60">
        <f t="array" ref="J23">IF('Base case- rivet bad'!$E23="kg",XLOOKUP('Base case- rivet bad'!$A23,'EPD data'!$A$4:$A$31,'EPD data'!$P$4:$P$31),XLOOKUP('Base case- rivet bad'!$A23,'EPD data'!$A$4:$A$31,'EPD data'!$K$4:$K$31))</f>
        <v>0.191</v>
      </c>
      <c r="K23" s="60">
        <f t="array" ref="K23">IF('Base case- rivet bad'!$E23="kg",XLOOKUP(A23,'EPD data'!$A$4:$A$31,'EPD data'!$R$4:$R$31),XLOOKUP('Base case- rivet bad'!$A23,'EPD data'!$A$4:$A$31,'EPD data'!$M$4:$M$31))</f>
        <v>0.48955</v>
      </c>
      <c r="L23" s="60">
        <f>'Base case- rivet bad'!$H23*'Base case- rivet bad'!$C23</f>
        <v>5.62</v>
      </c>
      <c r="M23" s="60">
        <f>'Base case- rivet bad'!$J23*'Base case- rivet bad'!$C23</f>
        <v>0.191</v>
      </c>
      <c r="N23" s="60">
        <f>SUM('Base case- rivet bad'!$L23:$M23)</f>
        <v>5.811</v>
      </c>
      <c r="O23" s="60">
        <f t="shared" si="3"/>
        <v>0.48955</v>
      </c>
      <c r="P23" s="61">
        <f t="shared" si="4"/>
        <v>5.62</v>
      </c>
      <c r="Q23" s="62">
        <f>'Base case- rivet bad'!$D23*'Base case- rivet bad'!$J23</f>
        <v>0.191</v>
      </c>
      <c r="R23" s="62">
        <f>'Base case- rivet bad'!$D23*'Base case- rivet bad'!$I23</f>
        <v>5.811</v>
      </c>
      <c r="S23" s="62">
        <f>'Base case- rivet bad'!$K23*'Base case- rivet bad'!$D23</f>
        <v>0.48955</v>
      </c>
      <c r="T23" s="63" t="s">
        <v>117</v>
      </c>
      <c r="U23" s="64" t="s">
        <v>113</v>
      </c>
    </row>
    <row r="24" ht="14.25" customHeight="1">
      <c r="A24" s="64" t="s">
        <v>118</v>
      </c>
      <c r="B24" s="64" t="s">
        <v>108</v>
      </c>
      <c r="C24" s="74">
        <v>1.0</v>
      </c>
      <c r="D24" s="80">
        <f>IF('Base case- rivet bad'!$E24="kg",'Base case- rivet bad'!$C24*$B$3,'Base case- rivet bad'!$C24)</f>
        <v>6</v>
      </c>
      <c r="E24" s="74" t="s">
        <v>71</v>
      </c>
      <c r="F24" s="59">
        <f t="array" ref="F24">IF('Base case- rivet bad'!$E24="kg",'Base case- rivet bad'!$C24,('Base case- rivet bad'!$C24*XLOOKUP('Base case- rivet bad'!$A24,'EPD data'!$A$4:$A$31,'EPD data'!$H$4:$H$31)))</f>
        <v>1</v>
      </c>
      <c r="G24" s="59">
        <f t="array" ref="G24">IF('Base case- rivet bad'!$E24="kg",'Base case- rivet bad'!$D24,('Base case- rivet bad'!$D24*XLOOKUP('Base case- rivet bad'!$A24,'EPD data'!$A$4:$A$31,'EPD data'!$H$4:$H$31)))</f>
        <v>6</v>
      </c>
      <c r="H24" s="66">
        <f t="array" ref="H24">IF('Base case- rivet bad'!$E24="kg",XLOOKUP(A24,'EPD data'!$A$4:$A$31,'EPD data'!$O$4:$O$31),XLOOKUP(A24,'EPD data'!$A$4:$A$31,'EPD data'!$J$4:$J$31))</f>
        <v>4.1337</v>
      </c>
      <c r="I24" s="66">
        <f t="array" ref="I24">IF('Base case- rivet bad'!$E24="kg",XLOOKUP(A24,'EPD data'!$A$4:$A$31,'EPD data'!$Q$4:$Q$31),XLOOKUP('Base case- rivet bad'!$A24,'EPD data'!$A$4:$A$31,'EPD data'!$L$4:$L$31))</f>
        <v>4.3767</v>
      </c>
      <c r="J24" s="60">
        <f t="array" ref="J24">IF('Base case- rivet bad'!$E24="kg",XLOOKUP('Base case- rivet bad'!$A24,'EPD data'!$A$4:$A$31,'EPD data'!$P$4:$P$31),XLOOKUP('Base case- rivet bad'!$A24,'EPD data'!$A$4:$A$31,'EPD data'!$K$4:$K$31))</f>
        <v>0.243</v>
      </c>
      <c r="K24" s="60">
        <f t="array" ref="K24">IF('Base case- rivet bad'!$E24="kg",XLOOKUP(A24,'EPD data'!$A$4:$A$31,'EPD data'!$R$4:$R$31),XLOOKUP('Base case- rivet bad'!$A24,'EPD data'!$A$4:$A$31,'EPD data'!$M$4:$M$31))</f>
        <v>3.04062</v>
      </c>
      <c r="L24" s="60">
        <f>'Base case- rivet bad'!$H24*'Base case- rivet bad'!$C24</f>
        <v>4.1337</v>
      </c>
      <c r="M24" s="60">
        <f>'Base case- rivet bad'!$J24*'Base case- rivet bad'!$C24</f>
        <v>0.243</v>
      </c>
      <c r="N24" s="60">
        <f>SUM('Base case- rivet bad'!$L24:$M24)</f>
        <v>4.3767</v>
      </c>
      <c r="O24" s="60">
        <f t="shared" si="3"/>
        <v>3.04062</v>
      </c>
      <c r="P24" s="61">
        <f t="shared" si="4"/>
        <v>24.8022</v>
      </c>
      <c r="Q24" s="62">
        <f>'Base case- rivet bad'!$D24*'Base case- rivet bad'!$J24</f>
        <v>1.458</v>
      </c>
      <c r="R24" s="62">
        <f>'Base case- rivet bad'!$D24*'Base case- rivet bad'!$I24</f>
        <v>26.2602</v>
      </c>
      <c r="S24" s="62">
        <f>'Base case- rivet bad'!$K24*'Base case- rivet bad'!$D24</f>
        <v>18.24372</v>
      </c>
      <c r="T24" s="63" t="s">
        <v>119</v>
      </c>
      <c r="U24" s="64" t="s">
        <v>113</v>
      </c>
    </row>
    <row r="25" ht="15.75" customHeight="1">
      <c r="A25" s="65" t="s">
        <v>120</v>
      </c>
      <c r="B25" s="64" t="s">
        <v>121</v>
      </c>
      <c r="C25" s="64">
        <v>0.6</v>
      </c>
      <c r="D25" s="59">
        <f>IF('Base case- rivet bad'!$E25="kg",'Base case- rivet bad'!$C25*$B$3,'Base case- rivet bad'!$C25)</f>
        <v>3.6</v>
      </c>
      <c r="E25" s="64" t="s">
        <v>71</v>
      </c>
      <c r="F25" s="59">
        <f t="array" ref="F25">IF('Base case- rivet bad'!$E25="kg",'Base case- rivet bad'!$C25,('Base case- rivet bad'!$C25*XLOOKUP('Base case- rivet bad'!$A25,'EPD data'!$A$4:$A$31,'EPD data'!$H$4:$H$31)))</f>
        <v>0.6</v>
      </c>
      <c r="G25" s="59">
        <f t="array" ref="G25">IF('Base case- rivet bad'!$E25="kg",'Base case- rivet bad'!$D25,('Base case- rivet bad'!$D25*XLOOKUP('Base case- rivet bad'!$A25,'EPD data'!$A$4:$A$31,'EPD data'!$H$4:$H$31)))</f>
        <v>3.6</v>
      </c>
      <c r="H25" s="66">
        <f t="array" ref="H25">IF('Base case- rivet bad'!$E25="kg",XLOOKUP(A25,'EPD data'!$A$4:$A$31,'EPD data'!$O$4:$O$31),XLOOKUP(A25,'EPD data'!$A$4:$A$31,'EPD data'!$J$4:$J$31))</f>
        <v>3.5354</v>
      </c>
      <c r="I25" s="66">
        <f t="array" ref="I25">IF('Base case- rivet bad'!$E25="kg",XLOOKUP(A25,'EPD data'!$A$4:$A$31,'EPD data'!$Q$4:$Q$31),XLOOKUP('Base case- rivet bad'!$A25,'EPD data'!$A$4:$A$31,'EPD data'!$L$4:$L$31))</f>
        <v>3.5732</v>
      </c>
      <c r="J25" s="60">
        <f t="array" ref="J25">IF('Base case- rivet bad'!$E25="kg",XLOOKUP('Base case- rivet bad'!$A25,'EPD data'!$A$4:$A$31,'EPD data'!$P$4:$P$31),XLOOKUP('Base case- rivet bad'!$A25,'EPD data'!$A$4:$A$31,'EPD data'!$K$4:$K$31))</f>
        <v>0.0378</v>
      </c>
      <c r="K25" s="60">
        <f t="array" ref="K25">IF('Base case- rivet bad'!$E25="kg",XLOOKUP(A25,'EPD data'!$A$4:$A$31,'EPD data'!$R$4:$R$31),XLOOKUP('Base case- rivet bad'!$A25,'EPD data'!$A$4:$A$31,'EPD data'!$M$4:$M$31))</f>
        <v>0.01252</v>
      </c>
      <c r="L25" s="60">
        <f>'Base case- rivet bad'!$H25*'Base case- rivet bad'!$C25</f>
        <v>2.12124</v>
      </c>
      <c r="M25" s="60">
        <f>'Base case- rivet bad'!$J25*'Base case- rivet bad'!$C25</f>
        <v>0.02268</v>
      </c>
      <c r="N25" s="60">
        <f>SUM('Base case- rivet bad'!$L25:$M25)</f>
        <v>2.14392</v>
      </c>
      <c r="O25" s="60">
        <f t="shared" si="3"/>
        <v>0.007512</v>
      </c>
      <c r="P25" s="61">
        <f t="shared" si="4"/>
        <v>12.72744</v>
      </c>
      <c r="Q25" s="62">
        <f>'Base case- rivet bad'!$D25*'Base case- rivet bad'!$J25</f>
        <v>0.13608</v>
      </c>
      <c r="R25" s="62">
        <f>'Base case- rivet bad'!$D25*'Base case- rivet bad'!$I25</f>
        <v>12.86352</v>
      </c>
      <c r="S25" s="62">
        <f>'Base case- rivet bad'!$K25*'Base case- rivet bad'!$D25</f>
        <v>0.045072</v>
      </c>
      <c r="T25" s="63" t="s">
        <v>120</v>
      </c>
      <c r="U25" s="64" t="s">
        <v>73</v>
      </c>
    </row>
    <row r="26" ht="15.75" customHeight="1">
      <c r="A26" s="65" t="s">
        <v>122</v>
      </c>
      <c r="B26" s="64"/>
      <c r="C26" s="64">
        <v>0.2</v>
      </c>
      <c r="D26" s="59">
        <f>IF('Base case- rivet bad'!$E26="kg",'Base case- rivet bad'!$C26*$B$3,'Base case- rivet bad'!$C26)</f>
        <v>1.2</v>
      </c>
      <c r="E26" s="64" t="s">
        <v>71</v>
      </c>
      <c r="F26" s="59">
        <f t="array" ref="F26">IF('Base case- rivet bad'!$E26="kg",'Base case- rivet bad'!$C26,('Base case- rivet bad'!$C26*XLOOKUP('Base case- rivet bad'!$A26,'EPD data'!$A$4:$A$31,'EPD data'!$H$4:$H$31)))</f>
        <v>0.2</v>
      </c>
      <c r="G26" s="59">
        <f t="array" ref="G26">IF('Base case- rivet bad'!$E26="kg",'Base case- rivet bad'!$D26,('Base case- rivet bad'!$D26*XLOOKUP('Base case- rivet bad'!$A26,'EPD data'!$A$4:$A$31,'EPD data'!$H$4:$H$31)))</f>
        <v>1.2</v>
      </c>
      <c r="H26" s="66">
        <f t="array" ref="H26">IF('Base case- rivet bad'!$E26="kg",XLOOKUP(A26,'EPD data'!$A$4:$A$31,'EPD data'!$O$4:$O$31),XLOOKUP(A26,'EPD data'!$A$4:$A$31,'EPD data'!$J$4:$J$31))</f>
        <v>5.36</v>
      </c>
      <c r="I26" s="66">
        <f t="array" ref="I26">IF('Base case- rivet bad'!$E26="kg",XLOOKUP(A26,'EPD data'!$A$4:$A$31,'EPD data'!$Q$4:$Q$31),XLOOKUP('Base case- rivet bad'!$A26,'EPD data'!$A$4:$A$31,'EPD data'!$L$4:$L$31))</f>
        <v>5.4181</v>
      </c>
      <c r="J26" s="60">
        <f t="array" ref="J26">IF('Base case- rivet bad'!$E26="kg",XLOOKUP('Base case- rivet bad'!$A26,'EPD data'!$A$4:$A$31,'EPD data'!$P$4:$P$31),XLOOKUP('Base case- rivet bad'!$A26,'EPD data'!$A$4:$A$31,'EPD data'!$K$4:$K$31))</f>
        <v>0.0581</v>
      </c>
      <c r="K26" s="60">
        <f t="array" ref="K26">IF('Base case- rivet bad'!$E26="kg",XLOOKUP(A26,'EPD data'!$A$4:$A$31,'EPD data'!$R$4:$R$31),XLOOKUP('Base case- rivet bad'!$A26,'EPD data'!$A$4:$A$31,'EPD data'!$M$4:$M$31))</f>
        <v>0.441066</v>
      </c>
      <c r="L26" s="60">
        <f>'Base case- rivet bad'!$H26*'Base case- rivet bad'!$C26</f>
        <v>1.072</v>
      </c>
      <c r="M26" s="60">
        <f>'Base case- rivet bad'!$J26*'Base case- rivet bad'!$C26</f>
        <v>0.01162</v>
      </c>
      <c r="N26" s="60">
        <f>SUM('Base case- rivet bad'!$L26:$M26)</f>
        <v>1.08362</v>
      </c>
      <c r="O26" s="60">
        <f t="shared" si="3"/>
        <v>0.0882132</v>
      </c>
      <c r="P26" s="61">
        <f t="shared" si="4"/>
        <v>6.432</v>
      </c>
      <c r="Q26" s="62">
        <f>'Base case- rivet bad'!$D26*'Base case- rivet bad'!$J26</f>
        <v>0.06972</v>
      </c>
      <c r="R26" s="62">
        <f>'Base case- rivet bad'!$D26*'Base case- rivet bad'!$I26</f>
        <v>6.50172</v>
      </c>
      <c r="S26" s="62">
        <f>'Base case- rivet bad'!$K26*'Base case- rivet bad'!$D26</f>
        <v>0.5292792</v>
      </c>
      <c r="T26" s="63" t="s">
        <v>123</v>
      </c>
      <c r="U26" s="64" t="s">
        <v>73</v>
      </c>
    </row>
    <row r="27" ht="15.75" customHeight="1">
      <c r="A27" s="65" t="s">
        <v>124</v>
      </c>
      <c r="B27" s="64"/>
      <c r="C27" s="70">
        <v>100.0</v>
      </c>
      <c r="D27" s="59">
        <f>IF('Base case- rivet bad'!$E27="kg",'Base case- rivet bad'!$C27*$B$3,'Base case- rivet bad'!$C27)</f>
        <v>600</v>
      </c>
      <c r="E27" s="64" t="s">
        <v>71</v>
      </c>
      <c r="F27" s="59">
        <f t="array" ref="F27">IF('Base case- rivet bad'!$E27="kg",'Base case- rivet bad'!$C27,('Base case- rivet bad'!$C27*XLOOKUP('Base case- rivet bad'!$A27,'EPD data'!$A$4:$A$31,'EPD data'!$H$4:$H$31)))</f>
        <v>100</v>
      </c>
      <c r="G27" s="59">
        <f t="array" ref="G27">IF('Base case- rivet bad'!$E27="kg",'Base case- rivet bad'!$D27,('Base case- rivet bad'!$D27*XLOOKUP('Base case- rivet bad'!$A27,'EPD data'!$A$4:$A$31,'EPD data'!$H$4:$H$31)))</f>
        <v>600</v>
      </c>
      <c r="H27" s="66">
        <f t="array" ref="H27">IF('Base case- rivet bad'!$E27="kg",XLOOKUP(A27,'EPD data'!$A$4:$A$31,'EPD data'!$O$4:$O$31),XLOOKUP(A27,'EPD data'!$A$4:$A$31,'EPD data'!$J$4:$J$31))</f>
        <v>0.5247634947</v>
      </c>
      <c r="I27" s="66">
        <f t="array" ref="I27">IF('Base case- rivet bad'!$E27="kg",XLOOKUP(A27,'EPD data'!$A$4:$A$31,'EPD data'!$Q$4:$Q$31),XLOOKUP('Base case- rivet bad'!$A27,'EPD data'!$A$4:$A$31,'EPD data'!$L$4:$L$31))</f>
        <v>0.5430717863</v>
      </c>
      <c r="J27" s="60">
        <f t="array" ref="J27">IF('Base case- rivet bad'!$E27="kg",XLOOKUP('Base case- rivet bad'!$A27,'EPD data'!$A$4:$A$31,'EPD data'!$P$4:$P$31),XLOOKUP('Base case- rivet bad'!$A27,'EPD data'!$A$4:$A$31,'EPD data'!$K$4:$K$31))</f>
        <v>0.0183082916</v>
      </c>
      <c r="K27" s="60">
        <f t="array" ref="K27">IF('Base case- rivet bad'!$E27="kg",XLOOKUP(A27,'EPD data'!$A$4:$A$31,'EPD data'!$R$4:$R$31),XLOOKUP('Base case- rivet bad'!$A27,'EPD data'!$A$4:$A$31,'EPD data'!$M$4:$M$31))</f>
        <v>0.004707846411</v>
      </c>
      <c r="L27" s="60">
        <f>'Base case- rivet bad'!$H27*'Base case- rivet bad'!$C27</f>
        <v>52.47634947</v>
      </c>
      <c r="M27" s="60">
        <f>'Base case- rivet bad'!$J27*'Base case- rivet bad'!$C27</f>
        <v>1.83082916</v>
      </c>
      <c r="N27" s="60">
        <f>SUM('Base case- rivet bad'!$L27:$M27)</f>
        <v>54.30717863</v>
      </c>
      <c r="O27" s="60">
        <f t="shared" si="3"/>
        <v>0.4707846411</v>
      </c>
      <c r="P27" s="61">
        <f t="shared" si="4"/>
        <v>314.8580968</v>
      </c>
      <c r="Q27" s="62">
        <f>'Base case- rivet bad'!$D27*'Base case- rivet bad'!$J27</f>
        <v>10.98497496</v>
      </c>
      <c r="R27" s="62">
        <f>'Base case- rivet bad'!$D27*'Base case- rivet bad'!$I27</f>
        <v>325.8430718</v>
      </c>
      <c r="S27" s="62">
        <f>'Base case- rivet bad'!$K27*'Base case- rivet bad'!$D27</f>
        <v>2.824707846</v>
      </c>
      <c r="T27" s="63" t="s">
        <v>125</v>
      </c>
      <c r="U27" s="64" t="s">
        <v>73</v>
      </c>
    </row>
    <row r="28" ht="15.75" customHeight="1">
      <c r="A28" s="81" t="s">
        <v>126</v>
      </c>
      <c r="B28" s="82"/>
      <c r="C28" s="64">
        <v>4.0</v>
      </c>
      <c r="D28" s="59">
        <f>IF('Base case- rivet bad'!$E28="kg",'Base case- rivet bad'!$C28*$B$3,'Base case- rivet bad'!$C28)</f>
        <v>24</v>
      </c>
      <c r="E28" s="64" t="s">
        <v>71</v>
      </c>
      <c r="F28" s="59">
        <f t="array" ref="F28">IF('Base case- rivet bad'!$E28="kg",'Base case- rivet bad'!$C28,('Base case- rivet bad'!$C28*XLOOKUP('Base case- rivet bad'!$A28,'EPD data'!$A$4:$A$31,'EPD data'!$H$4:$H$31)))</f>
        <v>4</v>
      </c>
      <c r="G28" s="59">
        <f t="array" ref="G28">IF('Base case- rivet bad'!$E28="kg",'Base case- rivet bad'!$D28,('Base case- rivet bad'!$D28*XLOOKUP('Base case- rivet bad'!$A28,'EPD data'!$A$4:$A$31,'EPD data'!$H$4:$H$31)))</f>
        <v>24</v>
      </c>
      <c r="H28" s="66">
        <f t="array" ref="H28">IF('Base case- rivet bad'!$E28="kg",XLOOKUP(A28,'EPD data'!$A$4:$A$31,'EPD data'!$O$4:$O$31),XLOOKUP(A28,'EPD data'!$A$4:$A$31,'EPD data'!$J$4:$J$31))</f>
        <v>0.39137</v>
      </c>
      <c r="I28" s="66">
        <f t="array" ref="I28">IF('Base case- rivet bad'!$E28="kg",XLOOKUP(A28,'EPD data'!$A$4:$A$31,'EPD data'!$Q$4:$Q$31),XLOOKUP('Base case- rivet bad'!$A28,'EPD data'!$A$4:$A$31,'EPD data'!$L$4:$L$31))</f>
        <v>0.41757</v>
      </c>
      <c r="J28" s="60">
        <f t="array" ref="J28">IF('Base case- rivet bad'!$E28="kg",XLOOKUP('Base case- rivet bad'!$A28,'EPD data'!$A$4:$A$31,'EPD data'!$P$4:$P$31),XLOOKUP('Base case- rivet bad'!$A28,'EPD data'!$A$4:$A$31,'EPD data'!$K$4:$K$31))</f>
        <v>0.0262</v>
      </c>
      <c r="K28" s="60">
        <f t="array" ref="K28">IF('Base case- rivet bad'!$E28="kg",XLOOKUP(A28,'EPD data'!$A$4:$A$31,'EPD data'!$R$4:$R$31),XLOOKUP('Base case- rivet bad'!$A28,'EPD data'!$A$4:$A$31,'EPD data'!$M$4:$M$31))</f>
        <v>0</v>
      </c>
      <c r="L28" s="60">
        <f>'Base case- rivet bad'!$H28*'Base case- rivet bad'!$C28</f>
        <v>1.56548</v>
      </c>
      <c r="M28" s="60">
        <f>'Base case- rivet bad'!$J28*'Base case- rivet bad'!$C28</f>
        <v>0.1048</v>
      </c>
      <c r="N28" s="60">
        <f>SUM('Base case- rivet bad'!$L28:$M28)</f>
        <v>1.67028</v>
      </c>
      <c r="O28" s="60">
        <f t="shared" si="3"/>
        <v>0</v>
      </c>
      <c r="P28" s="61">
        <f t="shared" si="4"/>
        <v>9.39288</v>
      </c>
      <c r="Q28" s="62">
        <f>'Base case- rivet bad'!$D28*'Base case- rivet bad'!$J28</f>
        <v>0.6288</v>
      </c>
      <c r="R28" s="62">
        <f>'Base case- rivet bad'!$D28*'Base case- rivet bad'!$I28</f>
        <v>10.02168</v>
      </c>
      <c r="S28" s="62">
        <f>'Base case- rivet bad'!$K28*'Base case- rivet bad'!$D28</f>
        <v>0</v>
      </c>
      <c r="T28" s="63" t="s">
        <v>127</v>
      </c>
      <c r="U28" s="64" t="s">
        <v>73</v>
      </c>
    </row>
    <row r="29" ht="15.75" customHeight="1">
      <c r="A29" s="64" t="s">
        <v>128</v>
      </c>
      <c r="B29" s="64" t="s">
        <v>129</v>
      </c>
      <c r="C29" s="83">
        <v>1.0</v>
      </c>
      <c r="D29" s="59">
        <f>IF('Base case- rivet bad'!$E29="kg",'Base case- rivet bad'!$C29*$B$3,'Base case- rivet bad'!$C29)</f>
        <v>1</v>
      </c>
      <c r="E29" s="74" t="s">
        <v>111</v>
      </c>
      <c r="F29" s="59">
        <f t="array" ref="F29">IF('Base case- rivet bad'!$E29="kg",'Base case- rivet bad'!$C29,('Base case- rivet bad'!$C29*XLOOKUP('Base case- rivet bad'!$A29,'EPD data'!$A$4:$A$31,'EPD data'!$H$4:$H$31)))</f>
        <v>0.94</v>
      </c>
      <c r="G29" s="59">
        <f t="array" ref="G29">IF('Base case- rivet bad'!$E29="kg",'Base case- rivet bad'!$D29,('Base case- rivet bad'!$D29*XLOOKUP('Base case- rivet bad'!$A29,'EPD data'!$A$4:$A$31,'EPD data'!$H$4:$H$31)))</f>
        <v>0.94</v>
      </c>
      <c r="H29" s="66">
        <f t="array" ref="H29">IF('Base case- rivet bad'!$E29="kg",XLOOKUP(A29,'EPD data'!$A$4:$A$31,'EPD data'!$O$4:$O$31),XLOOKUP(A29,'EPD data'!$A$4:$A$31,'EPD data'!$J$4:$J$31))</f>
        <v>0.5272</v>
      </c>
      <c r="I29" s="66">
        <f t="array" ref="I29">IF('Base case- rivet bad'!$E29="kg",XLOOKUP(A29,'EPD data'!$A$4:$A$31,'EPD data'!$Q$4:$Q$31),XLOOKUP('Base case- rivet bad'!$A29,'EPD data'!$A$4:$A$31,'EPD data'!$L$4:$L$31))</f>
        <v>0.5963</v>
      </c>
      <c r="J29" s="60">
        <f t="array" ref="J29">IF('Base case- rivet bad'!$E29="kg",XLOOKUP('Base case- rivet bad'!$A29,'EPD data'!$A$4:$A$31,'EPD data'!$P$4:$P$31),XLOOKUP('Base case- rivet bad'!$A29,'EPD data'!$A$4:$A$31,'EPD data'!$K$4:$K$31))</f>
        <v>0.0691</v>
      </c>
      <c r="K29" s="60">
        <f t="array" ref="K29">IF('Base case- rivet bad'!$E29="kg",XLOOKUP(A29,'EPD data'!$A$4:$A$31,'EPD data'!$R$4:$R$31),XLOOKUP('Base case- rivet bad'!$A29,'EPD data'!$A$4:$A$31,'EPD data'!$M$4:$M$31))</f>
        <v>1.665022</v>
      </c>
      <c r="L29" s="60">
        <f>'Base case- rivet bad'!$H29*'Base case- rivet bad'!$C29</f>
        <v>0.5272</v>
      </c>
      <c r="M29" s="60">
        <f>'Base case- rivet bad'!$J29*'Base case- rivet bad'!$C29</f>
        <v>0.0691</v>
      </c>
      <c r="N29" s="60">
        <f>SUM('Base case- rivet bad'!$L29:$M29)</f>
        <v>0.5963</v>
      </c>
      <c r="O29" s="60">
        <f t="shared" si="3"/>
        <v>1.665022</v>
      </c>
      <c r="P29" s="61">
        <f t="shared" si="4"/>
        <v>0.5272</v>
      </c>
      <c r="Q29" s="62">
        <f>'Base case- rivet bad'!$D29*'Base case- rivet bad'!$J29</f>
        <v>0.0691</v>
      </c>
      <c r="R29" s="62">
        <f>'Base case- rivet bad'!$D29*'Base case- rivet bad'!$I29</f>
        <v>0.5963</v>
      </c>
      <c r="S29" s="62">
        <f>'Base case- rivet bad'!$K29*'Base case- rivet bad'!$D29</f>
        <v>1.665022</v>
      </c>
      <c r="T29" s="63" t="s">
        <v>130</v>
      </c>
      <c r="U29" s="64" t="s">
        <v>73</v>
      </c>
    </row>
    <row r="30" ht="15.75" customHeight="1">
      <c r="A30" s="64" t="s">
        <v>131</v>
      </c>
      <c r="B30" s="64" t="s">
        <v>132</v>
      </c>
      <c r="C30" s="83">
        <v>1.0</v>
      </c>
      <c r="D30" s="59">
        <f>IF('Base case- rivet bad'!$E30="kg",'Base case- rivet bad'!$C30*$B$3,'Base case- rivet bad'!$C30)</f>
        <v>1</v>
      </c>
      <c r="E30" s="79" t="s">
        <v>111</v>
      </c>
      <c r="F30" s="59">
        <f t="array" ref="F30">IF('Base case- rivet bad'!$E30="kg",'Base case- rivet bad'!$C30,('Base case- rivet bad'!$C30*XLOOKUP('Base case- rivet bad'!$A30,'EPD data'!$A$4:$A$31,'EPD data'!$H$4:$H$31)))</f>
        <v>13.6</v>
      </c>
      <c r="G30" s="59">
        <f t="array" ref="G30">IF('Base case- rivet bad'!$E30="kg",'Base case- rivet bad'!$D30,('Base case- rivet bad'!$D30*XLOOKUP('Base case- rivet bad'!$A30,'EPD data'!$A$4:$A$31,'EPD data'!$H$4:$H$31)))</f>
        <v>13.6</v>
      </c>
      <c r="H30" s="66">
        <f t="array" ref="H30">IF('Base case- rivet bad'!$E30="kg",XLOOKUP(A30,'EPD data'!$A$4:$A$31,'EPD data'!$O$4:$O$31),XLOOKUP(A30,'EPD data'!$A$4:$A$31,'EPD data'!$J$4:$J$31))</f>
        <v>36.8</v>
      </c>
      <c r="I30" s="66">
        <f t="array" ref="I30">IF('Base case- rivet bad'!$E30="kg",XLOOKUP(A30,'EPD data'!$A$4:$A$31,'EPD data'!$Q$4:$Q$31),XLOOKUP('Base case- rivet bad'!$A30,'EPD data'!$A$4:$A$31,'EPD data'!$L$4:$L$31))</f>
        <v>38.04</v>
      </c>
      <c r="J30" s="60">
        <f t="array" ref="J30">IF('Base case- rivet bad'!$E30="kg",XLOOKUP('Base case- rivet bad'!$A30,'EPD data'!$A$4:$A$31,'EPD data'!$P$4:$P$31),XLOOKUP('Base case- rivet bad'!$A30,'EPD data'!$A$4:$A$31,'EPD data'!$K$4:$K$31))</f>
        <v>1.24</v>
      </c>
      <c r="K30" s="60">
        <f t="array" ref="K30">IF('Base case- rivet bad'!$E30="kg",XLOOKUP(A30,'EPD data'!$A$4:$A$31,'EPD data'!$R$4:$R$31),XLOOKUP('Base case- rivet bad'!$A30,'EPD data'!$A$4:$A$31,'EPD data'!$M$4:$M$31))</f>
        <v>11.06163</v>
      </c>
      <c r="L30" s="60">
        <f>'Base case- rivet bad'!$H30*'Base case- rivet bad'!$C30</f>
        <v>36.8</v>
      </c>
      <c r="M30" s="60">
        <f>'Base case- rivet bad'!$J30*'Base case- rivet bad'!$C30</f>
        <v>1.24</v>
      </c>
      <c r="N30" s="60">
        <f>SUM('Base case- rivet bad'!$L30:$M30)</f>
        <v>38.04</v>
      </c>
      <c r="O30" s="60">
        <f t="shared" si="3"/>
        <v>11.06163</v>
      </c>
      <c r="P30" s="61">
        <f t="shared" si="4"/>
        <v>36.8</v>
      </c>
      <c r="Q30" s="62">
        <f>'Base case- rivet bad'!$D30*'Base case- rivet bad'!$J30</f>
        <v>1.24</v>
      </c>
      <c r="R30" s="62">
        <f>'Base case- rivet bad'!$D30*'Base case- rivet bad'!$I30</f>
        <v>38.04</v>
      </c>
      <c r="S30" s="62">
        <f>'Base case- rivet bad'!$K30*'Base case- rivet bad'!$D30</f>
        <v>11.06163</v>
      </c>
      <c r="T30" s="84"/>
      <c r="U30" s="64" t="s">
        <v>73</v>
      </c>
    </row>
    <row r="31" ht="15.0" customHeight="1">
      <c r="A31" s="64" t="s">
        <v>133</v>
      </c>
      <c r="B31" s="64" t="s">
        <v>134</v>
      </c>
      <c r="C31" s="83">
        <v>1.0</v>
      </c>
      <c r="D31" s="59">
        <f>IF('Base case- rivet bad'!$E31="kg",'Base case- rivet bad'!$C31*$B$3,'Base case- rivet bad'!$C31)</f>
        <v>1</v>
      </c>
      <c r="E31" s="74" t="s">
        <v>111</v>
      </c>
      <c r="F31" s="59">
        <f t="array" ref="F31">IF('Base case- rivet bad'!$E31="kg",'Base case- rivet bad'!$C31,('Base case- rivet bad'!$C31*XLOOKUP('Base case- rivet bad'!$A31,'EPD data'!$A$4:$A$31,'EPD data'!$H$4:$H$31)))</f>
        <v>32.27</v>
      </c>
      <c r="G31" s="59">
        <f t="array" ref="G31">IF('Base case- rivet bad'!$E31="kg",'Base case- rivet bad'!$D31,('Base case- rivet bad'!$D31*XLOOKUP('Base case- rivet bad'!$A31,'EPD data'!$A$4:$A$31,'EPD data'!$H$4:$H$31)))</f>
        <v>32.27</v>
      </c>
      <c r="H31" s="66">
        <f t="array" ref="H31">IF('Base case- rivet bad'!$E31="kg",XLOOKUP(A31,'EPD data'!$A$4:$A$31,'EPD data'!$O$4:$O$31),XLOOKUP(A31,'EPD data'!$A$4:$A$31,'EPD data'!$J$4:$J$31))</f>
        <v>77.1</v>
      </c>
      <c r="I31" s="66">
        <f t="array" ref="I31">IF('Base case- rivet bad'!$E31="kg",XLOOKUP(A31,'EPD data'!$A$4:$A$31,'EPD data'!$Q$4:$Q$31),XLOOKUP('Base case- rivet bad'!$A31,'EPD data'!$A$4:$A$31,'EPD data'!$L$4:$L$31))</f>
        <v>77.1</v>
      </c>
      <c r="J31" s="60">
        <f t="array" ref="J31">IF('Base case- rivet bad'!$E31="kg",XLOOKUP('Base case- rivet bad'!$A31,'EPD data'!$A$4:$A$31,'EPD data'!$P$4:$P$31),XLOOKUP('Base case- rivet bad'!$A31,'EPD data'!$A$4:$A$31,'EPD data'!$K$4:$K$31))</f>
        <v>0</v>
      </c>
      <c r="K31" s="60">
        <f t="array" ref="K31">IF('Base case- rivet bad'!$E31="kg",XLOOKUP(A31,'EPD data'!$A$4:$A$31,'EPD data'!$R$4:$R$31),XLOOKUP('Base case- rivet bad'!$A31,'EPD data'!$A$4:$A$31,'EPD data'!$M$4:$M$31))</f>
        <v>0.903</v>
      </c>
      <c r="L31" s="60">
        <f>'Base case- rivet bad'!$H31*'Base case- rivet bad'!$C31</f>
        <v>77.1</v>
      </c>
      <c r="M31" s="60">
        <f>'Base case- rivet bad'!$J31*'Base case- rivet bad'!$C31</f>
        <v>0</v>
      </c>
      <c r="N31" s="60">
        <f>SUM('Base case- rivet bad'!$L31:$M31)</f>
        <v>77.1</v>
      </c>
      <c r="O31" s="60">
        <f t="shared" si="3"/>
        <v>0.903</v>
      </c>
      <c r="P31" s="61">
        <f t="shared" si="4"/>
        <v>77.1</v>
      </c>
      <c r="Q31" s="62">
        <f>'Base case- rivet bad'!$D31*'Base case- rivet bad'!$J31</f>
        <v>0</v>
      </c>
      <c r="R31" s="62">
        <f>'Base case- rivet bad'!$D31*'Base case- rivet bad'!$I31</f>
        <v>77.1</v>
      </c>
      <c r="S31" s="62">
        <f>'Base case- rivet bad'!$K31*'Base case- rivet bad'!$D31</f>
        <v>0.903</v>
      </c>
      <c r="T31" s="63" t="s">
        <v>135</v>
      </c>
      <c r="U31" s="64" t="s">
        <v>136</v>
      </c>
    </row>
    <row r="32" ht="15.75" customHeight="1">
      <c r="A32" s="64" t="s">
        <v>137</v>
      </c>
      <c r="B32" s="64" t="s">
        <v>138</v>
      </c>
      <c r="C32" s="83">
        <v>1.0</v>
      </c>
      <c r="D32" s="59">
        <f>IF('Base case- rivet bad'!$E32="kg",'Base case- rivet bad'!$C32*$B$3,'Base case- rivet bad'!$C32)</f>
        <v>1</v>
      </c>
      <c r="E32" s="79" t="s">
        <v>111</v>
      </c>
      <c r="F32" s="59">
        <f t="array" ref="F32">IF('Base case- rivet bad'!$E32="kg",'Base case- rivet bad'!$C32,('Base case- rivet bad'!$C32*XLOOKUP('Base case- rivet bad'!$A32,'EPD data'!$A$4:$A$31,'EPD data'!$H$4:$H$31)))</f>
        <v>53.2702</v>
      </c>
      <c r="G32" s="59">
        <f t="array" ref="G32">IF('Base case- rivet bad'!$E32="kg",'Base case- rivet bad'!$D32,('Base case- rivet bad'!$D32*XLOOKUP('Base case- rivet bad'!$A32,'EPD data'!$A$4:$A$31,'EPD data'!$H$4:$H$31)))</f>
        <v>53.2702</v>
      </c>
      <c r="H32" s="66">
        <f t="array" ref="H32">IF('Base case- rivet bad'!$E32="kg",XLOOKUP(A32,'EPD data'!$A$4:$A$31,'EPD data'!$O$4:$O$31),XLOOKUP(A32,'EPD data'!$A$4:$A$31,'EPD data'!$J$4:$J$31))</f>
        <v>246</v>
      </c>
      <c r="I32" s="66">
        <f t="array" ref="I32">IF('Base case- rivet bad'!$E32="kg",XLOOKUP(A32,'EPD data'!$A$4:$A$31,'EPD data'!$Q$4:$Q$31),XLOOKUP('Base case- rivet bad'!$A32,'EPD data'!$A$4:$A$31,'EPD data'!$L$4:$L$31))</f>
        <v>265.5</v>
      </c>
      <c r="J32" s="60">
        <f t="array" ref="J32">IF('Base case- rivet bad'!$E32="kg",XLOOKUP('Base case- rivet bad'!$A32,'EPD data'!$A$4:$A$31,'EPD data'!$P$4:$P$31),XLOOKUP('Base case- rivet bad'!$A32,'EPD data'!$A$4:$A$31,'EPD data'!$K$4:$K$31))</f>
        <v>19.5</v>
      </c>
      <c r="K32" s="60">
        <f t="array" ref="K32">IF('Base case- rivet bad'!$E32="kg",XLOOKUP(A32,'EPD data'!$A$4:$A$31,'EPD data'!$R$4:$R$31),XLOOKUP('Base case- rivet bad'!$A32,'EPD data'!$A$4:$A$31,'EPD data'!$M$4:$M$31))</f>
        <v>1.702</v>
      </c>
      <c r="L32" s="60">
        <f>'Base case- rivet bad'!$H32*'Base case- rivet bad'!$C32</f>
        <v>246</v>
      </c>
      <c r="M32" s="60">
        <f>'Base case- rivet bad'!$J32*'Base case- rivet bad'!$C32</f>
        <v>19.5</v>
      </c>
      <c r="N32" s="60">
        <f>SUM('Base case- rivet bad'!$L32:$M32)</f>
        <v>265.5</v>
      </c>
      <c r="O32" s="60">
        <f t="shared" si="3"/>
        <v>1.702</v>
      </c>
      <c r="P32" s="61">
        <f t="shared" si="4"/>
        <v>246</v>
      </c>
      <c r="Q32" s="62">
        <f>'Base case- rivet bad'!$D32*'Base case- rivet bad'!$J32</f>
        <v>19.5</v>
      </c>
      <c r="R32" s="62">
        <f>'Base case- rivet bad'!$D32*'Base case- rivet bad'!$I32</f>
        <v>265.5</v>
      </c>
      <c r="S32" s="62">
        <f>'Base case- rivet bad'!$K32*'Base case- rivet bad'!$D32</f>
        <v>1.702</v>
      </c>
      <c r="T32" s="85"/>
      <c r="U32" s="64" t="s">
        <v>136</v>
      </c>
    </row>
    <row r="33" ht="15.75" customHeight="1">
      <c r="A33" s="64" t="s">
        <v>139</v>
      </c>
      <c r="B33" s="64" t="s">
        <v>140</v>
      </c>
      <c r="C33" s="86">
        <v>7.0</v>
      </c>
      <c r="D33" s="59">
        <f>IF('Base case- rivet bad'!$E33="kg",'Base case- rivet bad'!$C33*$B$3,'Base case- rivet bad'!$C33)</f>
        <v>42</v>
      </c>
      <c r="E33" s="79" t="s">
        <v>71</v>
      </c>
      <c r="F33" s="59">
        <f t="array" ref="F33">IF('Base case- rivet bad'!$E33="kg",'Base case- rivet bad'!$C33,('Base case- rivet bad'!$C33*XLOOKUP('Base case- rivet bad'!$A33,'EPD data'!$A$4:$A$31,'EPD data'!$H$4:$H$31)))</f>
        <v>7</v>
      </c>
      <c r="G33" s="59">
        <f t="array" ref="G33">IF('Base case- rivet bad'!$E33="kg",'Base case- rivet bad'!$D33,('Base case- rivet bad'!$D33*XLOOKUP('Base case- rivet bad'!$A33,'EPD data'!$A$4:$A$31,'EPD data'!$H$4:$H$31)))</f>
        <v>42</v>
      </c>
      <c r="H33" s="66">
        <f t="array" ref="H33">IF('Base case- rivet bad'!$E33="kg",XLOOKUP(A33,'EPD data'!$A$4:$A$31,'EPD data'!$O$4:$O$31),XLOOKUP(A33,'EPD data'!$A$4:$A$31,'EPD data'!$J$4:$J$31))</f>
        <v>3.1805</v>
      </c>
      <c r="I33" s="66">
        <f t="array" ref="I33">IF('Base case- rivet bad'!$E33="kg",XLOOKUP(A33,'EPD data'!$A$4:$A$31,'EPD data'!$Q$4:$Q$31),XLOOKUP('Base case- rivet bad'!$A33,'EPD data'!$A$4:$A$31,'EPD data'!$L$4:$L$31))</f>
        <v>3.1805</v>
      </c>
      <c r="J33" s="60">
        <f t="array" ref="J33">IF('Base case- rivet bad'!$E33="kg",XLOOKUP('Base case- rivet bad'!$A33,'EPD data'!$A$4:$A$31,'EPD data'!$P$4:$P$31),XLOOKUP('Base case- rivet bad'!$A33,'EPD data'!$A$4:$A$31,'EPD data'!$K$4:$K$31))</f>
        <v>0</v>
      </c>
      <c r="K33" s="60">
        <f t="array" ref="K33">IF('Base case- rivet bad'!$E33="kg",XLOOKUP(A33,'EPD data'!$A$4:$A$31,'EPD data'!$R$4:$R$31),XLOOKUP('Base case- rivet bad'!$A33,'EPD data'!$A$4:$A$31,'EPD data'!$M$4:$M$31))</f>
        <v>0.0557</v>
      </c>
      <c r="L33" s="60">
        <f>'Base case- rivet bad'!$H33*'Base case- rivet bad'!$C33</f>
        <v>22.2635</v>
      </c>
      <c r="M33" s="60">
        <f>'Base case- rivet bad'!$J33*'Base case- rivet bad'!$C33</f>
        <v>0</v>
      </c>
      <c r="N33" s="60">
        <f>SUM('Base case- rivet bad'!$L33:$M33)</f>
        <v>22.2635</v>
      </c>
      <c r="O33" s="60">
        <f t="shared" si="3"/>
        <v>0.3899</v>
      </c>
      <c r="P33" s="61">
        <f t="shared" si="4"/>
        <v>133.581</v>
      </c>
      <c r="Q33" s="62">
        <f>'Base case- rivet bad'!$D33*'Base case- rivet bad'!$J33</f>
        <v>0</v>
      </c>
      <c r="R33" s="62">
        <f>'Base case- rivet bad'!$D33*'Base case- rivet bad'!$I33</f>
        <v>133.581</v>
      </c>
      <c r="S33" s="62">
        <f>'Base case- rivet bad'!$K33*'Base case- rivet bad'!$D33</f>
        <v>2.3394</v>
      </c>
      <c r="T33" s="87" t="s">
        <v>141</v>
      </c>
      <c r="U33" s="64" t="s">
        <v>136</v>
      </c>
    </row>
    <row r="34" ht="15.75" customHeight="1">
      <c r="A34" s="88" t="s">
        <v>142</v>
      </c>
      <c r="B34" s="89"/>
      <c r="C34" s="89"/>
      <c r="D34" s="89"/>
      <c r="E34" s="78"/>
      <c r="F34" s="78">
        <f>SUBTOTAL(109,'Base case- rivet bad'!$F$7:$F$33)</f>
        <v>345.9712</v>
      </c>
      <c r="G34" s="78">
        <f>SUBTOTAL(109,'Base case- rivet bad'!$G$7:$G$33)</f>
        <v>1535.4712</v>
      </c>
      <c r="H34" s="90"/>
      <c r="I34" s="90"/>
      <c r="J34" s="90"/>
      <c r="K34" s="91"/>
      <c r="L34" s="92">
        <f>SUBTOTAL(109,'Base case- rivet bad'!$L$7:$L$33)</f>
        <v>654.8269186</v>
      </c>
      <c r="M34" s="92">
        <f>SUBTOTAL(109,'Base case- rivet bad'!$M$7:$M$33)</f>
        <v>28.09408672</v>
      </c>
      <c r="N34" s="92">
        <f>SUBTOTAL(109,'Base case- rivet bad'!$N$7:$N$33)</f>
        <v>682.9210053</v>
      </c>
      <c r="O34" s="92">
        <f>SUBTOTAL(109,'Base case- rivet bad'!$O$7:$O$33)</f>
        <v>64.80369931</v>
      </c>
      <c r="P34" s="92">
        <f>SUBTOTAL(109,'Base case- rivet bad'!$P$7:$P$33)</f>
        <v>1667.430512</v>
      </c>
      <c r="Q34" s="92">
        <f>SUBTOTAL(109,'Base case- rivet bad'!$Q$7:$Q$33)</f>
        <v>55.44602031</v>
      </c>
      <c r="R34" s="92">
        <f>SUBTOTAL(109,'Base case- rivet bad'!$R$7:$R$33)</f>
        <v>1722.876532</v>
      </c>
      <c r="S34" s="92">
        <f>SUBTOTAL(109,'Base case- rivet bad'!$S$7:$S$33)</f>
        <v>300.6576859</v>
      </c>
      <c r="T34" s="93">
        <f>SUBTOTAL(103,'Base case- rivet bad'!$T$7:$T$33)</f>
        <v>24</v>
      </c>
      <c r="U34" s="89"/>
    </row>
    <row r="35" ht="15.75" customHeight="1">
      <c r="L35" s="94"/>
      <c r="M35" s="94"/>
      <c r="N35" s="94"/>
      <c r="O35" s="94"/>
      <c r="P35" s="94"/>
      <c r="Q35" s="94"/>
      <c r="R35" s="94"/>
      <c r="S35" s="94"/>
    </row>
    <row r="36" ht="15.75" customHeight="1">
      <c r="A36" s="36" t="s">
        <v>143</v>
      </c>
      <c r="B36" s="95"/>
      <c r="C36" s="95"/>
      <c r="D36" s="95"/>
      <c r="E36" s="95"/>
      <c r="L36" s="94"/>
      <c r="M36" s="94"/>
      <c r="N36" s="96" t="s">
        <v>144</v>
      </c>
      <c r="O36" s="96">
        <f>'Base case- rivet bad'!$N$34+'Base case- rivet bad'!$O$34</f>
        <v>747.7247046</v>
      </c>
      <c r="P36" s="94"/>
      <c r="Q36" s="94"/>
      <c r="R36" s="96" t="s">
        <v>144</v>
      </c>
      <c r="S36" s="96">
        <f>SUM(P34,Q34,S34)</f>
        <v>2023.534218</v>
      </c>
    </row>
    <row r="37" ht="15.75" customHeight="1">
      <c r="A37" s="36" t="s">
        <v>145</v>
      </c>
      <c r="B37" s="95"/>
      <c r="C37" s="95"/>
      <c r="D37" s="95"/>
      <c r="E37" s="95"/>
      <c r="L37" s="94"/>
      <c r="M37" s="94"/>
      <c r="N37" s="94"/>
      <c r="O37" s="94"/>
      <c r="P37" s="94"/>
      <c r="Q37" s="94"/>
      <c r="R37" s="94"/>
      <c r="S37" s="94"/>
    </row>
    <row r="38" ht="15.75" customHeight="1">
      <c r="A38" s="36" t="s">
        <v>146</v>
      </c>
      <c r="L38" s="94"/>
      <c r="M38" s="94"/>
      <c r="N38" s="94"/>
      <c r="O38" s="94"/>
      <c r="P38" s="94"/>
      <c r="Q38" s="94"/>
      <c r="R38" s="94"/>
      <c r="S38" s="94"/>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B1"/>
    <mergeCell ref="A5:E5"/>
    <mergeCell ref="G5:K5"/>
    <mergeCell ref="L5:O5"/>
    <mergeCell ref="P5:S5"/>
  </mergeCells>
  <conditionalFormatting sqref="H7:R7 H8:K19 H21:K33 L8:R33 S7:S33">
    <cfRule type="cellIs" dxfId="4" priority="1" operator="equal">
      <formula>0</formula>
    </cfRule>
  </conditionalFormatting>
  <conditionalFormatting sqref="M7:M34">
    <cfRule type="cellIs" dxfId="4" priority="2" operator="lessThan">
      <formula>0</formula>
    </cfRule>
  </conditionalFormatting>
  <hyperlinks>
    <hyperlink r:id="rId2" ref="T7"/>
    <hyperlink r:id="rId3" ref="T8"/>
    <hyperlink r:id="rId4" ref="T9"/>
    <hyperlink r:id="rId5" ref="T10"/>
    <hyperlink r:id="rId6" ref="T11"/>
    <hyperlink r:id="rId7" ref="T12"/>
    <hyperlink r:id="rId8" ref="T13"/>
    <hyperlink r:id="rId9" ref="T14"/>
    <hyperlink r:id="rId10" ref="T15"/>
    <hyperlink r:id="rId11" ref="T16"/>
    <hyperlink r:id="rId12" ref="T19"/>
    <hyperlink r:id="rId13" ref="T21"/>
    <hyperlink r:id="rId14" ref="T22"/>
    <hyperlink r:id="rId15" ref="T23"/>
    <hyperlink r:id="rId16" ref="T24"/>
    <hyperlink r:id="rId17" ref="T25"/>
    <hyperlink r:id="rId18" ref="T26"/>
    <hyperlink r:id="rId19" ref="T27"/>
    <hyperlink r:id="rId20" ref="T28"/>
    <hyperlink r:id="rId21" ref="T29"/>
    <hyperlink r:id="rId22" ref="T31"/>
    <hyperlink r:id="rId23" ref="T33"/>
  </hyperlinks>
  <printOptions/>
  <pageMargins bottom="0.75" footer="0.0" header="0.0" left="0.7" right="0.7" top="0.75"/>
  <pageSetup orientation="landscape"/>
  <drawing r:id="rId24"/>
  <legacyDrawing r:id="rId25"/>
  <tableParts count="1">
    <tablePart r:id="rId27"/>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5EBF2"/>
    <pageSetUpPr/>
  </sheetPr>
  <sheetViews>
    <sheetView workbookViewId="0"/>
  </sheetViews>
  <sheetFormatPr customHeight="1" defaultColWidth="14.43" defaultRowHeight="15.0"/>
  <cols>
    <col customWidth="1" min="1" max="1" width="52.14"/>
    <col customWidth="1" min="2" max="2" width="12.86"/>
    <col customWidth="1" min="3" max="3" width="12.71"/>
    <col customWidth="1" min="4" max="4" width="7.14"/>
    <col customWidth="1" min="5" max="5" width="11.14"/>
    <col customWidth="1" min="6" max="12" width="12.71"/>
    <col customWidth="1" min="13" max="19" width="11.43"/>
    <col customWidth="1" min="20" max="20" width="29.71"/>
    <col customWidth="1" min="21" max="26" width="11.43"/>
  </cols>
  <sheetData>
    <row r="1" hidden="1">
      <c r="B1" s="36" t="s">
        <v>150</v>
      </c>
    </row>
    <row r="2" hidden="1">
      <c r="B2" s="104" t="s">
        <v>74</v>
      </c>
    </row>
    <row r="3" hidden="1">
      <c r="B3" s="104" t="s">
        <v>80</v>
      </c>
    </row>
    <row r="4" hidden="1">
      <c r="B4" s="104" t="s">
        <v>83</v>
      </c>
      <c r="D4" s="17" t="s">
        <v>151</v>
      </c>
    </row>
    <row r="5" hidden="1">
      <c r="D5" s="36" t="s">
        <v>152</v>
      </c>
    </row>
    <row r="6" hidden="1">
      <c r="A6" s="105" t="s">
        <v>147</v>
      </c>
      <c r="B6" s="106" t="s">
        <v>153</v>
      </c>
      <c r="D6" s="36"/>
    </row>
    <row r="7" hidden="1">
      <c r="B7" s="36" t="s">
        <v>48</v>
      </c>
      <c r="C7" s="36" t="s">
        <v>154</v>
      </c>
      <c r="D7" s="36" t="s">
        <v>155</v>
      </c>
    </row>
    <row r="8" hidden="1">
      <c r="B8" s="107" t="s">
        <v>69</v>
      </c>
      <c r="C8" s="107" t="s">
        <v>70</v>
      </c>
      <c r="D8" s="108">
        <v>50.0</v>
      </c>
    </row>
    <row r="9" hidden="1">
      <c r="B9" s="107" t="s">
        <v>76</v>
      </c>
      <c r="C9" s="107" t="s">
        <v>70</v>
      </c>
      <c r="D9" s="108">
        <v>180.0</v>
      </c>
    </row>
    <row r="10" hidden="1">
      <c r="B10" s="107" t="s">
        <v>77</v>
      </c>
      <c r="C10" s="107" t="s">
        <v>78</v>
      </c>
      <c r="D10" s="108">
        <v>44.0</v>
      </c>
    </row>
    <row r="11" hidden="1">
      <c r="B11" s="107" t="s">
        <v>86</v>
      </c>
      <c r="C11" s="107" t="s">
        <v>87</v>
      </c>
      <c r="D11" s="108">
        <v>450.0</v>
      </c>
    </row>
    <row r="12" hidden="1">
      <c r="B12" s="107" t="s">
        <v>89</v>
      </c>
      <c r="C12" s="107" t="s">
        <v>90</v>
      </c>
      <c r="D12" s="108">
        <v>12.0</v>
      </c>
    </row>
    <row r="13" hidden="1">
      <c r="B13" s="107" t="s">
        <v>92</v>
      </c>
      <c r="C13" s="107" t="s">
        <v>93</v>
      </c>
      <c r="D13" s="108">
        <v>12.0</v>
      </c>
    </row>
    <row r="14" hidden="1">
      <c r="B14" s="107" t="s">
        <v>95</v>
      </c>
      <c r="C14" s="107" t="s">
        <v>96</v>
      </c>
      <c r="D14" s="108">
        <v>93.0</v>
      </c>
    </row>
    <row r="15" hidden="1">
      <c r="B15" s="107" t="s">
        <v>102</v>
      </c>
      <c r="D15" s="108">
        <v>12.0</v>
      </c>
    </row>
    <row r="16" hidden="1">
      <c r="B16" s="107" t="s">
        <v>98</v>
      </c>
      <c r="C16" s="107" t="s">
        <v>99</v>
      </c>
      <c r="D16" s="108">
        <v>1.0</v>
      </c>
    </row>
    <row r="17" hidden="1">
      <c r="B17" s="107" t="s">
        <v>104</v>
      </c>
      <c r="C17" s="107" t="s">
        <v>105</v>
      </c>
      <c r="D17" s="108">
        <v>24.0</v>
      </c>
    </row>
    <row r="18" hidden="1">
      <c r="B18" s="107" t="s">
        <v>107</v>
      </c>
      <c r="C18" s="107" t="s">
        <v>156</v>
      </c>
      <c r="D18" s="108">
        <v>2.0</v>
      </c>
    </row>
    <row r="19" hidden="1">
      <c r="B19" s="107" t="s">
        <v>120</v>
      </c>
      <c r="C19" s="107" t="s">
        <v>121</v>
      </c>
      <c r="D19" s="108">
        <v>3.0</v>
      </c>
    </row>
    <row r="20" hidden="1">
      <c r="B20" s="107" t="s">
        <v>122</v>
      </c>
      <c r="D20" s="108">
        <v>1.0</v>
      </c>
    </row>
    <row r="21" ht="15.75" hidden="1" customHeight="1">
      <c r="B21" s="107" t="s">
        <v>124</v>
      </c>
      <c r="D21" s="108">
        <f>25*28.04</f>
        <v>701</v>
      </c>
    </row>
    <row r="22" ht="15.75" hidden="1" customHeight="1">
      <c r="B22" s="107" t="s">
        <v>126</v>
      </c>
      <c r="D22" s="108">
        <v>20.0</v>
      </c>
    </row>
    <row r="23" ht="15.75" hidden="1" customHeight="1">
      <c r="B23" s="107" t="s">
        <v>128</v>
      </c>
      <c r="C23" s="107" t="s">
        <v>129</v>
      </c>
      <c r="D23" s="108">
        <v>1.0</v>
      </c>
    </row>
    <row r="24" ht="15.75" hidden="1" customHeight="1">
      <c r="B24" s="107" t="s">
        <v>131</v>
      </c>
      <c r="C24" s="107" t="s">
        <v>157</v>
      </c>
      <c r="D24" s="107">
        <v>17.0</v>
      </c>
    </row>
    <row r="25" ht="15.75" hidden="1" customHeight="1">
      <c r="A25" s="109" t="s">
        <v>158</v>
      </c>
      <c r="B25" s="107" t="s">
        <v>133</v>
      </c>
      <c r="C25" s="107" t="s">
        <v>134</v>
      </c>
      <c r="D25" s="108">
        <v>24.0</v>
      </c>
    </row>
    <row r="26" ht="15.75" hidden="1" customHeight="1">
      <c r="A26" s="109" t="s">
        <v>158</v>
      </c>
      <c r="B26" s="107" t="s">
        <v>137</v>
      </c>
      <c r="C26" s="107" t="s">
        <v>159</v>
      </c>
      <c r="D26" s="108">
        <v>31.0</v>
      </c>
    </row>
    <row r="27" ht="15.75" hidden="1" customHeight="1">
      <c r="A27" s="109" t="s">
        <v>158</v>
      </c>
      <c r="B27" s="107" t="s">
        <v>139</v>
      </c>
      <c r="C27" s="107" t="s">
        <v>140</v>
      </c>
      <c r="D27" s="107">
        <v>35.0</v>
      </c>
    </row>
    <row r="28" ht="28.5" hidden="1" customHeight="1">
      <c r="C28" s="110" t="s">
        <v>142</v>
      </c>
      <c r="D28" s="110">
        <f>SUM(D8:D27)</f>
        <v>1713</v>
      </c>
    </row>
    <row r="29" ht="15.75" hidden="1" customHeight="1"/>
    <row r="30" ht="15.75" customHeight="1">
      <c r="A30" s="111" t="s">
        <v>160</v>
      </c>
    </row>
    <row r="31" ht="15.75" customHeight="1">
      <c r="A31" s="112" t="s">
        <v>161</v>
      </c>
      <c r="B31" s="113"/>
      <c r="C31" s="114"/>
    </row>
    <row r="32" ht="60.0" customHeight="1">
      <c r="A32" s="115" t="s">
        <v>162</v>
      </c>
    </row>
    <row r="33" ht="75.0" customHeight="1">
      <c r="A33" s="115" t="s">
        <v>163</v>
      </c>
    </row>
    <row r="34" ht="15.75" customHeight="1"/>
    <row r="35" ht="15.75" customHeight="1"/>
    <row r="36" ht="15.75" customHeight="1">
      <c r="A36" s="116" t="s">
        <v>164</v>
      </c>
    </row>
    <row r="37" ht="15.75" customHeight="1">
      <c r="A37" s="117" t="s">
        <v>165</v>
      </c>
      <c r="E37" s="49" t="s">
        <v>9</v>
      </c>
      <c r="F37" s="19"/>
      <c r="G37" s="19"/>
      <c r="H37" s="20"/>
      <c r="I37" s="47" t="s">
        <v>46</v>
      </c>
      <c r="J37" s="19"/>
      <c r="K37" s="19"/>
      <c r="L37" s="20"/>
    </row>
    <row r="38" ht="15.75" customHeight="1">
      <c r="A38" s="52" t="s">
        <v>48</v>
      </c>
      <c r="B38" s="52" t="s">
        <v>49</v>
      </c>
      <c r="C38" s="52" t="s">
        <v>50</v>
      </c>
      <c r="D38" s="52" t="s">
        <v>52</v>
      </c>
      <c r="E38" s="52" t="s">
        <v>55</v>
      </c>
      <c r="F38" s="52" t="s">
        <v>57</v>
      </c>
      <c r="G38" s="52" t="s">
        <v>166</v>
      </c>
      <c r="H38" s="52" t="s">
        <v>58</v>
      </c>
      <c r="I38" s="51" t="s">
        <v>59</v>
      </c>
      <c r="J38" s="51" t="s">
        <v>60</v>
      </c>
      <c r="K38" s="51" t="s">
        <v>61</v>
      </c>
      <c r="L38" s="51" t="s">
        <v>62</v>
      </c>
      <c r="M38" s="118" t="s">
        <v>167</v>
      </c>
    </row>
    <row r="39" ht="15.75" customHeight="1">
      <c r="A39" s="119" t="s">
        <v>102</v>
      </c>
      <c r="B39" s="120"/>
      <c r="C39" s="120">
        <v>0.5</v>
      </c>
      <c r="D39" s="120" t="s">
        <v>71</v>
      </c>
      <c r="E39" s="66">
        <f t="array" ref="E39">XLOOKUP('M-TEK manipulated'!$A39,'EPD data'!$A$4:$A$31,'EPD data'!$O$4:$O$31)</f>
        <v>1.36</v>
      </c>
      <c r="F39" s="66">
        <f t="array" ref="F39">XLOOKUP('M-TEK manipulated'!$A39,'EPD data'!$A$4:$A$31,'EPD data'!$P$4:$P$31)</f>
        <v>0.0506</v>
      </c>
      <c r="G39" s="66">
        <f>SUM('M-TEK manipulated'!$E39:$F39)</f>
        <v>1.4106</v>
      </c>
      <c r="H39" s="66">
        <f t="array" ref="H39">XLOOKUP('M-TEK manipulated'!$A39,'EPD data'!$A$4:$A$31,'EPD data'!$R$4:$R$31)</f>
        <v>0.441066</v>
      </c>
      <c r="I39" s="66">
        <f>IFERROR('M-TEK manipulated'!$E39*'M-TEK manipulated'!$C39,"-")</f>
        <v>0.68</v>
      </c>
      <c r="J39" s="66">
        <f>IFERROR('M-TEK manipulated'!$F39*'M-TEK manipulated'!$C39,"-")</f>
        <v>0.0253</v>
      </c>
      <c r="K39" s="66">
        <f>IFERROR('M-TEK manipulated'!$G39*'M-TEK manipulated'!$C39,"-")</f>
        <v>0.7053</v>
      </c>
      <c r="L39" s="66">
        <f>IFERROR('M-TEK manipulated'!$H39*'M-TEK manipulated'!$C39,"-")</f>
        <v>0.220533</v>
      </c>
      <c r="M39" s="85"/>
    </row>
    <row r="40" ht="15.75" customHeight="1">
      <c r="A40" s="119" t="s">
        <v>168</v>
      </c>
      <c r="B40" s="120"/>
      <c r="C40" s="120">
        <v>1.0</v>
      </c>
      <c r="D40" s="120" t="s">
        <v>71</v>
      </c>
      <c r="E40" s="66">
        <f>'EPD data'!O21</f>
        <v>0.5247634947</v>
      </c>
      <c r="F40" s="66">
        <f>'EPD data'!P21</f>
        <v>0.0183082916</v>
      </c>
      <c r="G40" s="66">
        <f>'EPD data'!Q21</f>
        <v>0.5430717863</v>
      </c>
      <c r="H40" s="66">
        <f>'EPD data'!R21</f>
        <v>0.004707846411</v>
      </c>
      <c r="I40" s="66">
        <f>IFERROR('M-TEK manipulated'!$E40*'M-TEK manipulated'!$C40,"-")</f>
        <v>0.5247634947</v>
      </c>
      <c r="J40" s="66">
        <f>IFERROR('M-TEK manipulated'!$F40*'M-TEK manipulated'!$C40,"-")</f>
        <v>0.0183082916</v>
      </c>
      <c r="K40" s="66">
        <f>IFERROR('M-TEK manipulated'!$G40*'M-TEK manipulated'!$C40,"-")</f>
        <v>0.5430717863</v>
      </c>
      <c r="L40" s="66">
        <f>IFERROR('M-TEK manipulated'!$H40*'M-TEK manipulated'!$C40,"-")</f>
        <v>0.004707846411</v>
      </c>
      <c r="M40" s="85"/>
    </row>
    <row r="41" ht="15.75" customHeight="1">
      <c r="A41" s="119" t="s">
        <v>169</v>
      </c>
      <c r="B41" s="120"/>
      <c r="C41" s="120">
        <v>0.1</v>
      </c>
      <c r="D41" s="120" t="s">
        <v>71</v>
      </c>
      <c r="E41" s="66">
        <f>'EPD data'!O13</f>
        <v>4.537815126</v>
      </c>
      <c r="F41" s="66">
        <f>'EPD data'!P13</f>
        <v>0.06330532213</v>
      </c>
      <c r="G41" s="66">
        <f>'EPD data'!Q13</f>
        <v>4.601120448</v>
      </c>
      <c r="H41" s="66">
        <f>'EPD data'!R13</f>
        <v>0.8642408964</v>
      </c>
      <c r="I41" s="66">
        <f>IFERROR('M-TEK manipulated'!$E41*'M-TEK manipulated'!$C41,"-")</f>
        <v>0.4537815126</v>
      </c>
      <c r="J41" s="66">
        <f>IFERROR('M-TEK manipulated'!$F41*'M-TEK manipulated'!$C41,"-")</f>
        <v>0.006330532213</v>
      </c>
      <c r="K41" s="66">
        <f>IFERROR('M-TEK manipulated'!$G41*'M-TEK manipulated'!$C41,"-")</f>
        <v>0.4601120448</v>
      </c>
      <c r="L41" s="66">
        <f>IFERROR('M-TEK manipulated'!$H41*'M-TEK manipulated'!$C41,"-")</f>
        <v>0.08642408964</v>
      </c>
      <c r="M41" s="85" t="s">
        <v>170</v>
      </c>
    </row>
    <row r="42" ht="15.75" customHeight="1">
      <c r="A42" s="119" t="s">
        <v>86</v>
      </c>
      <c r="B42" s="120"/>
      <c r="C42" s="120">
        <v>5.0</v>
      </c>
      <c r="D42" s="120" t="s">
        <v>71</v>
      </c>
      <c r="E42" s="66">
        <f t="array" ref="E42">XLOOKUP('M-TEK manipulated'!$A42,'EPD data'!$A$4:$A$31,'EPD data'!$O$4:$O$31)</f>
        <v>0.171</v>
      </c>
      <c r="F42" s="66">
        <f t="array" ref="F42">XLOOKUP('M-TEK manipulated'!$A42,'EPD data'!$A$4:$A$31,'EPD data'!$P$4:$P$31)</f>
        <v>0</v>
      </c>
      <c r="G42" s="66">
        <f>SUM('M-TEK manipulated'!$E42:$F42)</f>
        <v>0.171</v>
      </c>
      <c r="H42" s="66">
        <f t="array" ref="H42">XLOOKUP('M-TEK manipulated'!$A42,'EPD data'!$A$4:$A$31,'EPD data'!$R$4:$R$31)</f>
        <v>0</v>
      </c>
      <c r="I42" s="66">
        <f>IFERROR('M-TEK manipulated'!$E42*'M-TEK manipulated'!$C42,"-")</f>
        <v>0.855</v>
      </c>
      <c r="J42" s="66">
        <f>IFERROR('M-TEK manipulated'!$F42*'M-TEK manipulated'!$C42,"-")</f>
        <v>0</v>
      </c>
      <c r="K42" s="66">
        <f>IFERROR('M-TEK manipulated'!$G42*'M-TEK manipulated'!$C42,"-")</f>
        <v>0.855</v>
      </c>
      <c r="L42" s="66">
        <f>IFERROR('M-TEK manipulated'!$H42*'M-TEK manipulated'!$C42,"-")</f>
        <v>0</v>
      </c>
      <c r="M42" s="85"/>
    </row>
    <row r="43" ht="15.75" customHeight="1">
      <c r="A43" s="119" t="s">
        <v>126</v>
      </c>
      <c r="B43" s="120"/>
      <c r="C43" s="120">
        <v>0.5</v>
      </c>
      <c r="D43" s="120" t="s">
        <v>71</v>
      </c>
      <c r="E43" s="66">
        <f t="array" ref="E43">XLOOKUP('M-TEK manipulated'!$A43,'EPD data'!$A$4:$A$31,'EPD data'!$O$4:$O$31)</f>
        <v>0.39137</v>
      </c>
      <c r="F43" s="66">
        <f t="array" ref="F43">XLOOKUP('M-TEK manipulated'!$A43,'EPD data'!$A$4:$A$31,'EPD data'!$P$4:$P$31)</f>
        <v>0.0262</v>
      </c>
      <c r="G43" s="66">
        <f>SUM('M-TEK manipulated'!$E43:$F43)</f>
        <v>0.41757</v>
      </c>
      <c r="H43" s="66">
        <f t="array" ref="H43">XLOOKUP('M-TEK manipulated'!$A43,'EPD data'!$A$4:$A$31,'EPD data'!$R$4:$R$31)</f>
        <v>0</v>
      </c>
      <c r="I43" s="66">
        <f>IFERROR('M-TEK manipulated'!$E43*'M-TEK manipulated'!$C43,"-")</f>
        <v>0.195685</v>
      </c>
      <c r="J43" s="66">
        <f>IFERROR('M-TEK manipulated'!$F43*'M-TEK manipulated'!$C43,"-")</f>
        <v>0.0131</v>
      </c>
      <c r="K43" s="66">
        <f>IFERROR('M-TEK manipulated'!$G43*'M-TEK manipulated'!$C43,"-")</f>
        <v>0.208785</v>
      </c>
      <c r="L43" s="66">
        <f>IFERROR('M-TEK manipulated'!$H43*'M-TEK manipulated'!$C43,"-")</f>
        <v>0</v>
      </c>
      <c r="M43" s="85"/>
    </row>
    <row r="44" ht="15.75" customHeight="1">
      <c r="A44" s="121" t="s">
        <v>122</v>
      </c>
      <c r="B44" s="122"/>
      <c r="C44" s="122">
        <v>0.0</v>
      </c>
      <c r="D44" s="122" t="s">
        <v>71</v>
      </c>
      <c r="E44" s="123">
        <f t="array" ref="E44">XLOOKUP('M-TEK manipulated'!$A44,'EPD data'!$A$4:$A$31,'EPD data'!$O$4:$O$31)</f>
        <v>5.36</v>
      </c>
      <c r="F44" s="123">
        <f t="array" ref="F44">XLOOKUP('M-TEK manipulated'!$A44,'EPD data'!$A$4:$A$31,'EPD data'!$P$4:$P$31)</f>
        <v>0.0581</v>
      </c>
      <c r="G44" s="66">
        <f>SUM('M-TEK manipulated'!$E44:$F44)</f>
        <v>5.4181</v>
      </c>
      <c r="H44" s="123">
        <f t="array" ref="H44">XLOOKUP('M-TEK manipulated'!$A44,'EPD data'!$A$4:$A$31,'EPD data'!$R$4:$R$31)</f>
        <v>0.441066</v>
      </c>
      <c r="I44" s="123">
        <f>IFERROR('M-TEK manipulated'!$E44*'M-TEK manipulated'!$C44,"-")</f>
        <v>0</v>
      </c>
      <c r="J44" s="123">
        <f>IFERROR('M-TEK manipulated'!$F44*'M-TEK manipulated'!$C44,"-")</f>
        <v>0</v>
      </c>
      <c r="K44" s="123">
        <f>IFERROR('M-TEK manipulated'!$G44*'M-TEK manipulated'!$C44,"-")</f>
        <v>0</v>
      </c>
      <c r="L44" s="123">
        <f>IFERROR('M-TEK manipulated'!$H44*'M-TEK manipulated'!$C44,"-")</f>
        <v>0</v>
      </c>
      <c r="M44" s="124"/>
    </row>
    <row r="45" ht="15.75" customHeight="1">
      <c r="A45" s="125"/>
      <c r="B45" s="126" t="s">
        <v>171</v>
      </c>
      <c r="C45" s="126">
        <f>SUM('M-TEK manipulated'!$C$39:$C$44)</f>
        <v>7.1</v>
      </c>
      <c r="D45" s="126" t="s">
        <v>71</v>
      </c>
      <c r="I45" s="127">
        <f>SUM('M-TEK manipulated'!$I$39:$I$44)</f>
        <v>2.709230007</v>
      </c>
      <c r="J45" s="127">
        <f>SUM('M-TEK manipulated'!$J$39:$J$44)</f>
        <v>0.06303882381</v>
      </c>
      <c r="K45" s="127">
        <f>SUM('M-TEK manipulated'!$K$39:$K$44)</f>
        <v>2.772268831</v>
      </c>
      <c r="L45" s="127">
        <f>SUM('M-TEK manipulated'!$L$39:$L$44)</f>
        <v>0.311664936</v>
      </c>
    </row>
    <row r="46" ht="15.75" customHeight="1">
      <c r="I46" s="94"/>
      <c r="J46" s="94"/>
      <c r="K46" s="94"/>
      <c r="L46" s="94"/>
    </row>
    <row r="47" ht="15.75" customHeight="1">
      <c r="I47" s="96" t="s">
        <v>144</v>
      </c>
      <c r="J47" s="96">
        <f>K45+L45</f>
        <v>3.083933767</v>
      </c>
      <c r="K47" s="94"/>
      <c r="L47" s="94"/>
    </row>
    <row r="48" ht="15.75" customHeight="1">
      <c r="I48" s="128"/>
      <c r="J48" s="128"/>
      <c r="K48" s="128"/>
      <c r="L48" s="128"/>
    </row>
    <row r="49" ht="15.75" customHeight="1"/>
    <row r="50" ht="15.75" customHeight="1">
      <c r="A50" s="116" t="s">
        <v>172</v>
      </c>
    </row>
    <row r="51" ht="15.75" customHeight="1">
      <c r="A51" s="126"/>
    </row>
    <row r="52" ht="15.75" customHeight="1">
      <c r="A52" s="15" t="s">
        <v>44</v>
      </c>
      <c r="B52" s="45">
        <f>'Resultat - M-tek'!$B$22</f>
        <v>6</v>
      </c>
    </row>
    <row r="53" ht="15.75" customHeight="1"/>
    <row r="54" ht="15.75" customHeight="1">
      <c r="A54" s="117" t="s">
        <v>173</v>
      </c>
      <c r="B54" s="125"/>
      <c r="C54" s="125"/>
      <c r="D54" s="125"/>
      <c r="F54" s="49" t="s">
        <v>9</v>
      </c>
      <c r="G54" s="19"/>
      <c r="H54" s="19"/>
      <c r="I54" s="19"/>
      <c r="J54" s="19"/>
      <c r="K54" s="20"/>
      <c r="L54" s="47" t="s">
        <v>46</v>
      </c>
      <c r="M54" s="19"/>
      <c r="N54" s="19"/>
      <c r="O54" s="20"/>
      <c r="P54" s="50" t="s">
        <v>47</v>
      </c>
      <c r="Q54" s="19"/>
      <c r="R54" s="19"/>
      <c r="S54" s="20"/>
    </row>
    <row r="55" ht="15.75" customHeight="1">
      <c r="A55" s="52" t="s">
        <v>48</v>
      </c>
      <c r="B55" s="52" t="s">
        <v>49</v>
      </c>
      <c r="C55" s="52" t="s">
        <v>50</v>
      </c>
      <c r="D55" s="53" t="s">
        <v>51</v>
      </c>
      <c r="E55" s="52" t="s">
        <v>52</v>
      </c>
      <c r="F55" s="54" t="s">
        <v>53</v>
      </c>
      <c r="G55" s="54" t="s">
        <v>54</v>
      </c>
      <c r="H55" s="51" t="s">
        <v>174</v>
      </c>
      <c r="I55" s="51" t="s">
        <v>175</v>
      </c>
      <c r="J55" s="51" t="s">
        <v>176</v>
      </c>
      <c r="K55" s="51" t="s">
        <v>177</v>
      </c>
      <c r="L55" s="51" t="s">
        <v>59</v>
      </c>
      <c r="M55" s="51" t="s">
        <v>178</v>
      </c>
      <c r="N55" s="129" t="s">
        <v>179</v>
      </c>
      <c r="O55" s="51" t="s">
        <v>62</v>
      </c>
      <c r="P55" s="130" t="s">
        <v>63</v>
      </c>
      <c r="Q55" s="131" t="s">
        <v>149</v>
      </c>
      <c r="R55" s="130" t="s">
        <v>65</v>
      </c>
      <c r="S55" s="130" t="s">
        <v>66</v>
      </c>
      <c r="T55" s="132" t="s">
        <v>67</v>
      </c>
      <c r="U55" s="133" t="s">
        <v>68</v>
      </c>
    </row>
    <row r="56" ht="15.75" customHeight="1">
      <c r="A56" s="119" t="s">
        <v>102</v>
      </c>
      <c r="B56" s="120"/>
      <c r="C56" s="120">
        <v>2.4</v>
      </c>
      <c r="D56" s="64">
        <f>'M-TEK manipulated'!$C56*$B$52</f>
        <v>14.4</v>
      </c>
      <c r="E56" s="85" t="s">
        <v>71</v>
      </c>
      <c r="F56" s="59">
        <f t="array" ref="F56">IF('M-TEK manipulated'!$E56="kg",'M-TEK manipulated'!$C56,('M-TEK manipulated'!$C56*XLOOKUP('M-TEK manipulated'!$A56,'EPD data'!$A$4:$A$31,'EPD data'!$H$4:$H$31)))</f>
        <v>2.4</v>
      </c>
      <c r="G56" s="85">
        <f t="array" ref="G56">IF('M-TEK manipulated'!$E56="kg",'M-TEK manipulated'!$D56,('M-TEK manipulated'!$D56*XLOOKUP('M-TEK manipulated'!$A56,'EPD data'!$A$4:$A$31,'EPD data'!$H$4:$H$31)))</f>
        <v>14.4</v>
      </c>
      <c r="H56" s="66">
        <f t="array" ref="H56">IF('M-TEK manipulated'!$E56="kg",XLOOKUP('M-TEK manipulated'!$A56,'EPD data'!$A$4:$A$31,'EPD data'!$O$4:$O$31,),XLOOKUP('M-TEK manipulated'!$A56,'EPD data'!$A$4:$A$31,'EPD data'!$J$4:$J$31))</f>
        <v>1.36</v>
      </c>
      <c r="I56" s="66">
        <f t="array" ref="I56">IF('M-TEK manipulated'!$E56="kg",XLOOKUP('M-TEK manipulated'!$A56,'EPD data'!$A$4:$A$31,'EPD data'!$P$4:$P$31),XLOOKUP('M-TEK manipulated'!$A56,'EPD data'!$A$4:$A$31,'EPD data'!$K$4:$K$31))</f>
        <v>0.0506</v>
      </c>
      <c r="J56" s="66">
        <f t="array" ref="J56">IF('M-TEK manipulated'!$E56="kg",XLOOKUP('M-TEK manipulated'!$A56,'EPD data'!$A$4:$A$31,'EPD data'!$Q$4:$Q$31,),XLOOKUP('M-TEK manipulated'!$A56,'EPD data'!$A$4:$A$31,'EPD data'!$L$4:$L$31))</f>
        <v>1.4106</v>
      </c>
      <c r="K56" s="66">
        <f t="array" ref="K56">IF('M-TEK manipulated'!$E56="kg",XLOOKUP('M-TEK manipulated'!$A56,'EPD data'!$A$4:$A$31,'EPD data'!$R$4:$R$31),XLOOKUP('M-TEK manipulated'!$A56,'EPD data'!$A$4:$A$31,'EPD data'!$M$4:$M$31))</f>
        <v>0.441066</v>
      </c>
      <c r="L56" s="66">
        <f>IFERROR('M-TEK manipulated'!$C56*'M-TEK manipulated'!$H56,)</f>
        <v>3.264</v>
      </c>
      <c r="M56" s="66">
        <f>'M-TEK manipulated'!$C56*'M-TEK manipulated'!$J56</f>
        <v>3.38544</v>
      </c>
      <c r="N56" s="66">
        <f>'M-TEK manipulated'!$M56-'M-TEK manipulated'!$L56</f>
        <v>0.12144</v>
      </c>
      <c r="O56" s="66">
        <f>'M-TEK manipulated'!$C56*'M-TEK manipulated'!$K56</f>
        <v>1.0585584</v>
      </c>
      <c r="P56" s="60">
        <f>IFERROR('M-TEK manipulated'!$H56*'M-TEK manipulated'!$D56,"-")</f>
        <v>19.584</v>
      </c>
      <c r="Q56" s="60">
        <f t="shared" ref="Q56:Q63" si="1">R56-P56</f>
        <v>0.72864</v>
      </c>
      <c r="R56" s="60">
        <f>IFERROR('M-TEK manipulated'!$J56*'M-TEK manipulated'!$D56,"-")</f>
        <v>20.31264</v>
      </c>
      <c r="S56" s="60">
        <f>IFERROR('M-TEK manipulated'!$K56*'M-TEK manipulated'!$D56,"-")</f>
        <v>6.3513504</v>
      </c>
      <c r="T56" s="60" t="str">
        <f t="array" ref="T56">XLOOKUP('M-TEK manipulated'!$A56,'EPD data'!$A$4:$A$31,'EPD data'!$B$4:$B$31)</f>
        <v>PCI membran (Lastogum)</v>
      </c>
    </row>
    <row r="57" ht="15.75" customHeight="1">
      <c r="A57" s="119" t="s">
        <v>98</v>
      </c>
      <c r="B57" s="119" t="s">
        <v>99</v>
      </c>
      <c r="C57" s="119">
        <v>0.2</v>
      </c>
      <c r="D57" s="64">
        <f>'M-TEK manipulated'!$C57*$B$52</f>
        <v>1.2</v>
      </c>
      <c r="E57" s="68" t="s">
        <v>71</v>
      </c>
      <c r="F57" s="68">
        <f t="array" ref="F57">IF('M-TEK manipulated'!$E57="kg",'M-TEK manipulated'!$C57,('M-TEK manipulated'!$C57*XLOOKUP('M-TEK manipulated'!$A57,'EPD data'!$A$4:$A$31,'EPD data'!$H$4:$H$31)))</f>
        <v>0.2</v>
      </c>
      <c r="G57" s="68">
        <f t="array" ref="G57">IF('M-TEK manipulated'!$E57="kg",'M-TEK manipulated'!$D57,('M-TEK manipulated'!$D57*XLOOKUP('M-TEK manipulated'!$A57,'EPD data'!$A$4:$A$31,'EPD data'!$H$4:$H$31)))</f>
        <v>1.2</v>
      </c>
      <c r="H57" s="66">
        <f t="array" ref="H57">IF('M-TEK manipulated'!$E57="kg",XLOOKUP('M-TEK manipulated'!$A57,'EPD data'!$A$4:$A$31,'EPD data'!$O$4:$O$31,),XLOOKUP('M-TEK manipulated'!$A57,'EPD data'!$A$4:$A$31,'EPD data'!$J$4:$J$31))</f>
        <v>4.0233</v>
      </c>
      <c r="I57" s="66">
        <f t="array" ref="I57">IF('M-TEK manipulated'!$E57="kg",XLOOKUP('M-TEK manipulated'!$A57,'EPD data'!$A$4:$A$31,'EPD data'!$P$4:$P$31),XLOOKUP('M-TEK manipulated'!$A57,'EPD data'!$A$4:$A$31,'EPD data'!$K$4:$K$31))</f>
        <v>0</v>
      </c>
      <c r="J57" s="66">
        <f t="array" ref="J57">IF('M-TEK manipulated'!$E57="kg",XLOOKUP('M-TEK manipulated'!$A57,'EPD data'!$A$4:$A$31,'EPD data'!$Q$4:$Q$31,),XLOOKUP('M-TEK manipulated'!$A57,'EPD data'!$A$4:$A$31,'EPD data'!$L$4:$L$31))</f>
        <v>4.0233</v>
      </c>
      <c r="K57" s="66">
        <f t="array" ref="K57">IF('M-TEK manipulated'!$E57="kg",XLOOKUP('M-TEK manipulated'!$A57,'EPD data'!$A$4:$A$31,'EPD data'!$R$4:$R$31),XLOOKUP('M-TEK manipulated'!$A57,'EPD data'!$A$4:$A$31,'EPD data'!$M$4:$M$31))</f>
        <v>0</v>
      </c>
      <c r="L57" s="66">
        <f>IFERROR('M-TEK manipulated'!$C57*'M-TEK manipulated'!$H57,)</f>
        <v>0.80466</v>
      </c>
      <c r="M57" s="66">
        <f>'M-TEK manipulated'!$C57*'M-TEK manipulated'!$J57</f>
        <v>0.80466</v>
      </c>
      <c r="N57" s="66">
        <f>'M-TEK manipulated'!$M57-'M-TEK manipulated'!$L57</f>
        <v>0</v>
      </c>
      <c r="O57" s="66">
        <f>'M-TEK manipulated'!$C57*'M-TEK manipulated'!$K57</f>
        <v>0</v>
      </c>
      <c r="P57" s="66">
        <f>IFERROR('M-TEK manipulated'!$H57*'M-TEK manipulated'!$D57,"-")</f>
        <v>4.82796</v>
      </c>
      <c r="Q57" s="66">
        <f t="shared" si="1"/>
        <v>0</v>
      </c>
      <c r="R57" s="66">
        <f>IFERROR('M-TEK manipulated'!$J57*'M-TEK manipulated'!$D57,"-")</f>
        <v>4.82796</v>
      </c>
      <c r="S57" s="66">
        <f>IFERROR('M-TEK manipulated'!$K57*'M-TEK manipulated'!$D57,"-")</f>
        <v>0</v>
      </c>
      <c r="T57" s="66" t="str">
        <f t="array" ref="T57">XLOOKUP('M-TEK manipulated'!$A57,'EPD data'!$A$4:$A$31,'EPD data'!$B$4:$B$31)</f>
        <v>slukmansjett (PCI_Pecitape)</v>
      </c>
    </row>
    <row r="58" ht="15.75" customHeight="1">
      <c r="A58" s="119" t="s">
        <v>128</v>
      </c>
      <c r="B58" s="120"/>
      <c r="C58" s="120">
        <v>1.0</v>
      </c>
      <c r="D58" s="64">
        <v>1.0</v>
      </c>
      <c r="E58" s="134" t="s">
        <v>111</v>
      </c>
      <c r="F58" s="134">
        <f t="array" ref="F58">IF('M-TEK manipulated'!$E58="kg",'M-TEK manipulated'!$C58,('M-TEK manipulated'!$C58*XLOOKUP('M-TEK manipulated'!$A58,'EPD data'!$A$4:$A$31,'EPD data'!$H$4:$H$31)))</f>
        <v>0.94</v>
      </c>
      <c r="G58" s="134">
        <f t="array" ref="G58">IF('M-TEK manipulated'!$E58="kg",'M-TEK manipulated'!$D58,('M-TEK manipulated'!$D58*XLOOKUP('M-TEK manipulated'!$A58,'EPD data'!$A$4:$A$31,'EPD data'!$H$4:$H$31)))</f>
        <v>0.94</v>
      </c>
      <c r="H58" s="135">
        <f t="array" ref="H58">IF('M-TEK manipulated'!$E58="kg",XLOOKUP('M-TEK manipulated'!$A58,'EPD data'!$A$4:$A$31,'EPD data'!$O$4:$O$31,),XLOOKUP('M-TEK manipulated'!$A58,'EPD data'!$A$4:$A$31,'EPD data'!$J$4:$J$31))</f>
        <v>0.5272</v>
      </c>
      <c r="I58" s="135">
        <f t="array" ref="I58">IF('M-TEK manipulated'!$E58="kg",XLOOKUP('M-TEK manipulated'!$A58,'EPD data'!$A$4:$A$31,'EPD data'!$P$4:$P$31),XLOOKUP('M-TEK manipulated'!$A58,'EPD data'!$A$4:$A$31,'EPD data'!$K$4:$K$31))</f>
        <v>0.0691</v>
      </c>
      <c r="J58" s="66">
        <f t="array" ref="J58">IF('M-TEK manipulated'!$E58="kg",XLOOKUP('M-TEK manipulated'!$A58,'EPD data'!$A$4:$A$31,'EPD data'!$Q$4:$Q$31,),XLOOKUP('M-TEK manipulated'!$A58,'EPD data'!$A$4:$A$31,'EPD data'!$L$4:$L$31))</f>
        <v>0.5963</v>
      </c>
      <c r="K58" s="66">
        <f t="array" ref="K58">IF('M-TEK manipulated'!$E58="kg",XLOOKUP('M-TEK manipulated'!$A58,'EPD data'!$A$4:$A$31,'EPD data'!$R$4:$R$31),XLOOKUP('M-TEK manipulated'!$A58,'EPD data'!$A$4:$A$31,'EPD data'!$M$4:$M$31))</f>
        <v>1.665022</v>
      </c>
      <c r="L58" s="66">
        <f>IFERROR('M-TEK manipulated'!$C58*'M-TEK manipulated'!$H58,)</f>
        <v>0.5272</v>
      </c>
      <c r="M58" s="66">
        <f>'M-TEK manipulated'!$C58*'M-TEK manipulated'!$J58</f>
        <v>0.5963</v>
      </c>
      <c r="N58" s="66">
        <f>'M-TEK manipulated'!$M58-'M-TEK manipulated'!$L58</f>
        <v>0.0691</v>
      </c>
      <c r="O58" s="66">
        <f>'M-TEK manipulated'!$C58*'M-TEK manipulated'!$K58</f>
        <v>1.665022</v>
      </c>
      <c r="P58" s="66">
        <f>IFERROR('M-TEK manipulated'!$H58*'M-TEK manipulated'!$D58,"-")</f>
        <v>0.5272</v>
      </c>
      <c r="Q58" s="66">
        <f t="shared" si="1"/>
        <v>0.0691</v>
      </c>
      <c r="R58" s="66">
        <f>IFERROR('M-TEK manipulated'!$J58*'M-TEK manipulated'!$D58,"-")</f>
        <v>0.5963</v>
      </c>
      <c r="S58" s="66">
        <f>IFERROR('M-TEK manipulated'!$K58*'M-TEK manipulated'!$D58,"-")</f>
        <v>1.665022</v>
      </c>
      <c r="T58" s="136" t="str">
        <f t="array" ref="T58">XLOOKUP('M-TEK manipulated'!$A58,'EPD data'!$A$4:$A$31,'EPD data'!$B$4:$B$31)</f>
        <v>Sluk (sliderain)</v>
      </c>
    </row>
    <row r="59" ht="15.75" customHeight="1">
      <c r="A59" s="119" t="s">
        <v>86</v>
      </c>
      <c r="B59" s="120" t="s">
        <v>87</v>
      </c>
      <c r="C59" s="120">
        <v>5.0</v>
      </c>
      <c r="D59" s="64">
        <f>'M-TEK manipulated'!$C59*$B$52</f>
        <v>30</v>
      </c>
      <c r="E59" s="85" t="s">
        <v>71</v>
      </c>
      <c r="F59" s="85">
        <f t="array" ref="F59">IF('M-TEK manipulated'!$E59="kg",'M-TEK manipulated'!$C59,('M-TEK manipulated'!$C59*XLOOKUP('M-TEK manipulated'!$A59,'EPD data'!$A$4:$A$31,'EPD data'!$H$4:$H$31)))</f>
        <v>5</v>
      </c>
      <c r="G59" s="85">
        <f t="array" ref="G59">IF('M-TEK manipulated'!$E59="kg",'M-TEK manipulated'!$D59,('M-TEK manipulated'!$D59*XLOOKUP('M-TEK manipulated'!$A59,'EPD data'!$A$4:$A$31,'EPD data'!$H$4:$H$31)))</f>
        <v>30</v>
      </c>
      <c r="H59" s="66">
        <f t="array" ref="H59">IF('M-TEK manipulated'!$E59="kg",XLOOKUP('M-TEK manipulated'!$A59,'EPD data'!$A$4:$A$31,'EPD data'!$O$4:$O$31,),XLOOKUP('M-TEK manipulated'!$A59,'EPD data'!$A$4:$A$31,'EPD data'!$J$4:$J$31))</f>
        <v>0.171</v>
      </c>
      <c r="I59" s="66">
        <f t="array" ref="I59">IF('M-TEK manipulated'!$E59="kg",XLOOKUP('M-TEK manipulated'!$A59,'EPD data'!$A$4:$A$31,'EPD data'!$P$4:$P$31),XLOOKUP('M-TEK manipulated'!$A59,'EPD data'!$A$4:$A$31,'EPD data'!$K$4:$K$31))</f>
        <v>0</v>
      </c>
      <c r="J59" s="66">
        <f t="array" ref="J59">IF('M-TEK manipulated'!$E59="kg",XLOOKUP('M-TEK manipulated'!$A59,'EPD data'!$A$4:$A$31,'EPD data'!$Q$4:$Q$31,),XLOOKUP('M-TEK manipulated'!$A59,'EPD data'!$A$4:$A$31,'EPD data'!$L$4:$L$31))</f>
        <v>0.171</v>
      </c>
      <c r="K59" s="66">
        <f t="array" ref="K59">IF('M-TEK manipulated'!$E59="kg",XLOOKUP('M-TEK manipulated'!$A59,'EPD data'!$A$4:$A$31,'EPD data'!$R$4:$R$31),XLOOKUP('M-TEK manipulated'!$A59,'EPD data'!$A$4:$A$31,'EPD data'!$M$4:$M$31))</f>
        <v>0</v>
      </c>
      <c r="L59" s="66">
        <f>IFERROR('M-TEK manipulated'!$C59*'M-TEK manipulated'!$H59,)</f>
        <v>0.855</v>
      </c>
      <c r="M59" s="66">
        <f>'M-TEK manipulated'!$C59*'M-TEK manipulated'!$J59</f>
        <v>0.855</v>
      </c>
      <c r="N59" s="66">
        <f>'M-TEK manipulated'!$M59-'M-TEK manipulated'!$L59</f>
        <v>0</v>
      </c>
      <c r="O59" s="66">
        <f>'M-TEK manipulated'!$C59*'M-TEK manipulated'!$K59</f>
        <v>0</v>
      </c>
      <c r="P59" s="66">
        <f>IFERROR('M-TEK manipulated'!$H59*'M-TEK manipulated'!$D59,"-")</f>
        <v>5.13</v>
      </c>
      <c r="Q59" s="66">
        <f t="shared" si="1"/>
        <v>0</v>
      </c>
      <c r="R59" s="66">
        <f>IFERROR('M-TEK manipulated'!$J59*'M-TEK manipulated'!$D59,"-")</f>
        <v>5.13</v>
      </c>
      <c r="S59" s="66">
        <f>IFERROR('M-TEK manipulated'!$K59*'M-TEK manipulated'!$D59,"-")</f>
        <v>0</v>
      </c>
      <c r="T59" s="136" t="str">
        <f t="array" ref="T59">XLOOKUP('M-TEK manipulated'!$A59,'EPD data'!$A$4:$A$31,'EPD data'!$B$4:$B$31)</f>
        <v>avrettingsmasse (Proplan Basic)</v>
      </c>
    </row>
    <row r="60" ht="15.75" customHeight="1">
      <c r="A60" s="119" t="s">
        <v>124</v>
      </c>
      <c r="B60" s="120"/>
      <c r="C60" s="137">
        <v>25.0</v>
      </c>
      <c r="D60" s="70">
        <f>'M-TEK manipulated'!$C60*$B$52</f>
        <v>150</v>
      </c>
      <c r="E60" s="85" t="s">
        <v>71</v>
      </c>
      <c r="F60" s="85">
        <f t="array" ref="F60">IF('M-TEK manipulated'!$E60="kg",'M-TEK manipulated'!$C60,('M-TEK manipulated'!$C60*XLOOKUP('M-TEK manipulated'!$A60,'EPD data'!$A$4:$A$31,'EPD data'!$H$4:$H$31)))</f>
        <v>25</v>
      </c>
      <c r="G60" s="85">
        <f t="array" ref="G60">IF('M-TEK manipulated'!$E60="kg",'M-TEK manipulated'!$D60,('M-TEK manipulated'!$D60*XLOOKUP('M-TEK manipulated'!$A60,'EPD data'!$A$4:$A$31,'EPD data'!$H$4:$H$31)))</f>
        <v>150</v>
      </c>
      <c r="H60" s="66">
        <f t="array" ref="H60">IF('M-TEK manipulated'!$E60="kg",XLOOKUP('M-TEK manipulated'!$A60,'EPD data'!$A$4:$A$31,'EPD data'!$O$4:$O$31,),XLOOKUP('M-TEK manipulated'!$A60,'EPD data'!$A$4:$A$31,'EPD data'!$J$4:$J$31))</f>
        <v>0.5247634947</v>
      </c>
      <c r="I60" s="66">
        <f t="array" ref="I60">IF('M-TEK manipulated'!$E60="kg",XLOOKUP('M-TEK manipulated'!$A60,'EPD data'!$A$4:$A$31,'EPD data'!$P$4:$P$31),XLOOKUP('M-TEK manipulated'!$A60,'EPD data'!$A$4:$A$31,'EPD data'!$K$4:$K$31))</f>
        <v>0.0183082916</v>
      </c>
      <c r="J60" s="66">
        <f t="array" ref="J60">IF('M-TEK manipulated'!$E60="kg",XLOOKUP('M-TEK manipulated'!$A60,'EPD data'!$A$4:$A$31,'EPD data'!$Q$4:$Q$31,),XLOOKUP('M-TEK manipulated'!$A60,'EPD data'!$A$4:$A$31,'EPD data'!$L$4:$L$31))</f>
        <v>0.5430717863</v>
      </c>
      <c r="K60" s="66">
        <f t="array" ref="K60">IF('M-TEK manipulated'!$E60="kg",XLOOKUP('M-TEK manipulated'!$A60,'EPD data'!$A$4:$A$31,'EPD data'!$R$4:$R$31),XLOOKUP('M-TEK manipulated'!$A60,'EPD data'!$A$4:$A$31,'EPD data'!$M$4:$M$31))</f>
        <v>0.004707846411</v>
      </c>
      <c r="L60" s="66">
        <f>IFERROR('M-TEK manipulated'!$C60*'M-TEK manipulated'!$H60,)</f>
        <v>13.11908737</v>
      </c>
      <c r="M60" s="66">
        <f>'M-TEK manipulated'!$C60*'M-TEK manipulated'!$J60</f>
        <v>13.57679466</v>
      </c>
      <c r="N60" s="66">
        <f>'M-TEK manipulated'!$M60-'M-TEK manipulated'!$L60</f>
        <v>0.4577072899</v>
      </c>
      <c r="O60" s="66">
        <f>'M-TEK manipulated'!$C60*'M-TEK manipulated'!$K60</f>
        <v>0.1176961603</v>
      </c>
      <c r="P60" s="66">
        <f>IFERROR('M-TEK manipulated'!$H60*'M-TEK manipulated'!$D60,"-")</f>
        <v>78.71452421</v>
      </c>
      <c r="Q60" s="66">
        <f t="shared" si="1"/>
        <v>2.74624374</v>
      </c>
      <c r="R60" s="66">
        <f>IFERROR('M-TEK manipulated'!$J60*'M-TEK manipulated'!$D60,"-")</f>
        <v>81.46076795</v>
      </c>
      <c r="S60" s="66">
        <f>IFERROR('M-TEK manipulated'!$K60*'M-TEK manipulated'!$D60,"-")</f>
        <v>0.7061769616</v>
      </c>
      <c r="T60" s="136" t="str">
        <f t="array" ref="T60">XLOOKUP('M-TEK manipulated'!$A60,'EPD data'!$A$4:$A$31,'EPD data'!$B$4:$B$31)</f>
        <v>fliser</v>
      </c>
    </row>
    <row r="61" ht="15.75" customHeight="1">
      <c r="A61" s="119" t="s">
        <v>126</v>
      </c>
      <c r="B61" s="120"/>
      <c r="C61" s="120">
        <v>4.0</v>
      </c>
      <c r="D61" s="64">
        <f>'M-TEK manipulated'!$C61*$B$52</f>
        <v>24</v>
      </c>
      <c r="E61" s="85" t="s">
        <v>71</v>
      </c>
      <c r="F61" s="85">
        <f t="array" ref="F61">IF('M-TEK manipulated'!$E61="kg",'M-TEK manipulated'!$C61,('M-TEK manipulated'!$C61*XLOOKUP('M-TEK manipulated'!$A61,'EPD data'!$A$4:$A$31,'EPD data'!$H$4:$H$31)))</f>
        <v>4</v>
      </c>
      <c r="G61" s="85">
        <f t="array" ref="G61">IF('M-TEK manipulated'!$E61="kg",'M-TEK manipulated'!$D61,('M-TEK manipulated'!$D61*XLOOKUP('M-TEK manipulated'!$A61,'EPD data'!$A$4:$A$31,'EPD data'!$H$4:$H$31)))</f>
        <v>24</v>
      </c>
      <c r="H61" s="66">
        <f t="array" ref="H61">IF('M-TEK manipulated'!$E61="kg",XLOOKUP('M-TEK manipulated'!$A61,'EPD data'!$A$4:$A$31,'EPD data'!$O$4:$O$31,),XLOOKUP('M-TEK manipulated'!$A61,'EPD data'!$A$4:$A$31,'EPD data'!$J$4:$J$31))</f>
        <v>0.39137</v>
      </c>
      <c r="I61" s="66">
        <f t="array" ref="I61">IF('M-TEK manipulated'!$E61="kg",XLOOKUP('M-TEK manipulated'!$A61,'EPD data'!$A$4:$A$31,'EPD data'!$P$4:$P$31),XLOOKUP('M-TEK manipulated'!$A61,'EPD data'!$A$4:$A$31,'EPD data'!$K$4:$K$31))</f>
        <v>0.0262</v>
      </c>
      <c r="J61" s="66">
        <f t="array" ref="J61">IF('M-TEK manipulated'!$E61="kg",XLOOKUP('M-TEK manipulated'!$A61,'EPD data'!$A$4:$A$31,'EPD data'!$Q$4:$Q$31,),XLOOKUP('M-TEK manipulated'!$A61,'EPD data'!$A$4:$A$31,'EPD data'!$L$4:$L$31))</f>
        <v>0.41757</v>
      </c>
      <c r="K61" s="66">
        <f t="array" ref="K61">IF('M-TEK manipulated'!$E61="kg",XLOOKUP('M-TEK manipulated'!$A61,'EPD data'!$A$4:$A$31,'EPD data'!$R$4:$R$31),XLOOKUP('M-TEK manipulated'!$A61,'EPD data'!$A$4:$A$31,'EPD data'!$M$4:$M$31))</f>
        <v>0</v>
      </c>
      <c r="L61" s="66">
        <f>IFERROR('M-TEK manipulated'!$C61*'M-TEK manipulated'!$H61,)</f>
        <v>1.56548</v>
      </c>
      <c r="M61" s="66">
        <f>'M-TEK manipulated'!$C61*'M-TEK manipulated'!$J61</f>
        <v>1.67028</v>
      </c>
      <c r="N61" s="66">
        <f>'M-TEK manipulated'!$M61-'M-TEK manipulated'!$L61</f>
        <v>0.1048</v>
      </c>
      <c r="O61" s="66">
        <f>'M-TEK manipulated'!$C61*'M-TEK manipulated'!$K61</f>
        <v>0</v>
      </c>
      <c r="P61" s="66">
        <f>IFERROR('M-TEK manipulated'!$H61*'M-TEK manipulated'!$D61,"-")</f>
        <v>9.39288</v>
      </c>
      <c r="Q61" s="66">
        <f t="shared" si="1"/>
        <v>0.6288</v>
      </c>
      <c r="R61" s="66">
        <f>IFERROR('M-TEK manipulated'!$J61*'M-TEK manipulated'!$D61,"-")</f>
        <v>10.02168</v>
      </c>
      <c r="S61" s="66">
        <f>IFERROR('M-TEK manipulated'!$K61*'M-TEK manipulated'!$D61,"-")</f>
        <v>0</v>
      </c>
      <c r="T61" s="136" t="str">
        <f t="array" ref="T61">XLOOKUP('M-TEK manipulated'!$A61,'EPD data'!$A$4:$A$31,'EPD data'!$B$4:$B$31)</f>
        <v>Flislim</v>
      </c>
    </row>
    <row r="62" ht="15.75" customHeight="1">
      <c r="A62" s="119" t="s">
        <v>122</v>
      </c>
      <c r="B62" s="120"/>
      <c r="C62" s="120">
        <v>0.1</v>
      </c>
      <c r="D62" s="64">
        <f>'M-TEK manipulated'!$C62*$B$52</f>
        <v>0.6</v>
      </c>
      <c r="E62" s="85" t="s">
        <v>71</v>
      </c>
      <c r="F62" s="85">
        <f t="array" ref="F62">IF('M-TEK manipulated'!$E62="kg",'M-TEK manipulated'!$C62,('M-TEK manipulated'!$C62*XLOOKUP('M-TEK manipulated'!$A62,'EPD data'!$A$4:$A$31,'EPD data'!$H$4:$H$31)))</f>
        <v>0.1</v>
      </c>
      <c r="G62" s="85">
        <f t="array" ref="G62">IF('M-TEK manipulated'!$E62="kg",'M-TEK manipulated'!$D62,('M-TEK manipulated'!$D62*XLOOKUP('M-TEK manipulated'!$A62,'EPD data'!$A$4:$A$31,'EPD data'!$H$4:$H$31)))</f>
        <v>0.6</v>
      </c>
      <c r="H62" s="66">
        <f t="array" ref="H62">IF('M-TEK manipulated'!$E62="kg",XLOOKUP('M-TEK manipulated'!$A62,'EPD data'!$A$4:$A$31,'EPD data'!$O$4:$O$31,),XLOOKUP('M-TEK manipulated'!$A62,'EPD data'!$A$4:$A$31,'EPD data'!$J$4:$J$31))</f>
        <v>5.36</v>
      </c>
      <c r="I62" s="66">
        <f t="array" ref="I62">IF('M-TEK manipulated'!$E62="kg",XLOOKUP('M-TEK manipulated'!$A62,'EPD data'!$A$4:$A$31,'EPD data'!$P$4:$P$31),XLOOKUP('M-TEK manipulated'!$A62,'EPD data'!$A$4:$A$31,'EPD data'!$K$4:$K$31))</f>
        <v>0.0581</v>
      </c>
      <c r="J62" s="66">
        <f t="array" ref="J62">IF('M-TEK manipulated'!$E62="kg",XLOOKUP('M-TEK manipulated'!$A62,'EPD data'!$A$4:$A$31,'EPD data'!$Q$4:$Q$31,),XLOOKUP('M-TEK manipulated'!$A62,'EPD data'!$A$4:$A$31,'EPD data'!$L$4:$L$31))</f>
        <v>5.4181</v>
      </c>
      <c r="K62" s="66">
        <f t="array" ref="K62">IF('M-TEK manipulated'!$E62="kg",XLOOKUP('M-TEK manipulated'!$A62,'EPD data'!$A$4:$A$31,'EPD data'!$R$4:$R$31),XLOOKUP('M-TEK manipulated'!$A62,'EPD data'!$A$4:$A$31,'EPD data'!$M$4:$M$31))</f>
        <v>0.441066</v>
      </c>
      <c r="L62" s="66">
        <f>IFERROR('M-TEK manipulated'!$C62*'M-TEK manipulated'!$H62,)</f>
        <v>0.536</v>
      </c>
      <c r="M62" s="66">
        <f>'M-TEK manipulated'!$C62*'M-TEK manipulated'!$J62</f>
        <v>0.54181</v>
      </c>
      <c r="N62" s="66">
        <f>'M-TEK manipulated'!$M62-'M-TEK manipulated'!$L62</f>
        <v>0.00581</v>
      </c>
      <c r="O62" s="66">
        <f>'M-TEK manipulated'!$C62*'M-TEK manipulated'!$K62</f>
        <v>0.0441066</v>
      </c>
      <c r="P62" s="66">
        <f>IFERROR('M-TEK manipulated'!$H62*'M-TEK manipulated'!$D62,"-")</f>
        <v>3.216</v>
      </c>
      <c r="Q62" s="66">
        <f t="shared" si="1"/>
        <v>0.03486</v>
      </c>
      <c r="R62" s="66">
        <f>IFERROR('M-TEK manipulated'!$J62*'M-TEK manipulated'!$D62,"-")</f>
        <v>3.25086</v>
      </c>
      <c r="S62" s="66">
        <f>IFERROR('M-TEK manipulated'!$K62*'M-TEK manipulated'!$D62,"-")</f>
        <v>0.2646396</v>
      </c>
      <c r="T62" s="136" t="str">
        <f t="array" ref="T62">XLOOKUP('M-TEK manipulated'!$A62,'EPD data'!$A$4:$A$31,'EPD data'!$B$4:$B$31)</f>
        <v>silikon</v>
      </c>
    </row>
    <row r="63" ht="15.75" customHeight="1">
      <c r="A63" s="121" t="s">
        <v>92</v>
      </c>
      <c r="B63" s="122" t="s">
        <v>93</v>
      </c>
      <c r="C63" s="122">
        <v>2.4</v>
      </c>
      <c r="D63" s="82">
        <f>'M-TEK manipulated'!$C63*$B$52</f>
        <v>14.4</v>
      </c>
      <c r="E63" s="124" t="s">
        <v>71</v>
      </c>
      <c r="F63" s="124">
        <f t="array" ref="F63">IF('M-TEK manipulated'!$E63="kg",'M-TEK manipulated'!$C63,('M-TEK manipulated'!$C63*XLOOKUP('M-TEK manipulated'!$A63,'EPD data'!$A$4:$A$31,'EPD data'!$H$4:$H$31)))</f>
        <v>2.4</v>
      </c>
      <c r="G63" s="124">
        <f t="array" ref="G63">IF('M-TEK manipulated'!$E63="kg",'M-TEK manipulated'!$D63,('M-TEK manipulated'!$D63*XLOOKUP('M-TEK manipulated'!$A63,'EPD data'!$A$4:$A$31,'EPD data'!$H$4:$H$31)))</f>
        <v>14.4</v>
      </c>
      <c r="H63" s="66">
        <f t="array" ref="H63">IF('M-TEK manipulated'!$E63="kg",XLOOKUP('M-TEK manipulated'!$A63,'EPD data'!$A$4:$A$31,'EPD data'!$O$4:$O$31,),XLOOKUP('M-TEK manipulated'!$A63,'EPD data'!$A$4:$A$31,'EPD data'!$J$4:$J$31))</f>
        <v>4.537815126</v>
      </c>
      <c r="I63" s="66">
        <f t="array" ref="I63">IF('M-TEK manipulated'!$E63="kg",XLOOKUP('M-TEK manipulated'!$A63,'EPD data'!$A$4:$A$31,'EPD data'!$P$4:$P$31),XLOOKUP('M-TEK manipulated'!$A63,'EPD data'!$A$4:$A$31,'EPD data'!$K$4:$K$31))</f>
        <v>0.06330532213</v>
      </c>
      <c r="J63" s="66">
        <f t="array" ref="J63">IF('M-TEK manipulated'!$E63="kg",XLOOKUP('M-TEK manipulated'!$A63,'EPD data'!$A$4:$A$31,'EPD data'!$Q$4:$Q$31,),XLOOKUP('M-TEK manipulated'!$A63,'EPD data'!$A$4:$A$31,'EPD data'!$L$4:$L$31))</f>
        <v>4.601120448</v>
      </c>
      <c r="K63" s="66">
        <f t="array" ref="K63">IF('M-TEK manipulated'!$E63="kg",XLOOKUP('M-TEK manipulated'!$A63,'EPD data'!$A$4:$A$31,'EPD data'!$R$4:$R$31),XLOOKUP('M-TEK manipulated'!$A63,'EPD data'!$A$4:$A$31,'EPD data'!$M$4:$M$31))</f>
        <v>0.8642408964</v>
      </c>
      <c r="L63" s="66">
        <f>IFERROR('M-TEK manipulated'!$C63*'M-TEK manipulated'!$H63,)</f>
        <v>10.8907563</v>
      </c>
      <c r="M63" s="66">
        <f>'M-TEK manipulated'!$C63*'M-TEK manipulated'!$J63</f>
        <v>11.04268908</v>
      </c>
      <c r="N63" s="66">
        <f>'M-TEK manipulated'!$M63-'M-TEK manipulated'!$L63</f>
        <v>0.1519327731</v>
      </c>
      <c r="O63" s="66">
        <f>'M-TEK manipulated'!$C63*'M-TEK manipulated'!$K63</f>
        <v>2.074178151</v>
      </c>
      <c r="P63" s="123">
        <f>IFERROR('M-TEK manipulated'!$H63*'M-TEK manipulated'!$D63,"-")</f>
        <v>65.34453782</v>
      </c>
      <c r="Q63" s="123">
        <f t="shared" si="1"/>
        <v>0.9115966387</v>
      </c>
      <c r="R63" s="123">
        <f>IFERROR('M-TEK manipulated'!$J63*'M-TEK manipulated'!$D63,"-")</f>
        <v>66.25613445</v>
      </c>
      <c r="S63" s="123">
        <f>IFERROR('M-TEK manipulated'!$K63*'M-TEK manipulated'!$D63,"-")</f>
        <v>12.44506891</v>
      </c>
      <c r="T63" s="138" t="str">
        <f t="array" ref="T63">XLOOKUP('M-TEK manipulated'!$A63,'EPD data'!$A$4:$A$31,'EPD data'!$B$4:$B$31)</f>
        <v>Varmekabel ØS varme</v>
      </c>
    </row>
    <row r="64" ht="15.75" customHeight="1">
      <c r="A64" s="121" t="s">
        <v>142</v>
      </c>
      <c r="B64" s="122"/>
      <c r="C64" s="122"/>
      <c r="D64" s="82"/>
      <c r="E64" s="82"/>
      <c r="F64" s="124">
        <f>SUBTOTAL(109,'M-TEK manipulated'!$F$56:$F$63)</f>
        <v>40.04</v>
      </c>
      <c r="G64" s="124">
        <f>SUBTOTAL(109,'M-TEK manipulated'!$G$56:$G$63)</f>
        <v>235.54</v>
      </c>
      <c r="H64" s="82"/>
      <c r="I64" s="82"/>
      <c r="J64" s="82"/>
      <c r="K64" s="82"/>
      <c r="L64" s="82"/>
      <c r="M64" s="139">
        <f>SUBTOTAL(109,'M-TEK manipulated'!$M$56:$M$63)</f>
        <v>32.47297373</v>
      </c>
      <c r="N64" s="139">
        <f>SUBTOTAL(109,'M-TEK manipulated'!$N$56:$N$63)</f>
        <v>0.910790063</v>
      </c>
      <c r="O64" s="139">
        <f>SUBTOTAL(109,'M-TEK manipulated'!$O$56:$O$63)</f>
        <v>4.959561312</v>
      </c>
      <c r="P64" s="139"/>
      <c r="Q64" s="139"/>
      <c r="R64" s="139">
        <f>SUBTOTAL(109,'M-TEK manipulated'!$R$56:$R$63)</f>
        <v>191.8563424</v>
      </c>
      <c r="S64" s="139">
        <f>SUBTOTAL(109,'M-TEK manipulated'!$S$56:$S$63)</f>
        <v>21.43225787</v>
      </c>
      <c r="T64" s="82"/>
    </row>
    <row r="65" ht="15.75" customHeight="1">
      <c r="A65" s="36" t="s">
        <v>145</v>
      </c>
      <c r="B65" s="95"/>
      <c r="C65" s="36"/>
      <c r="D65" s="126"/>
      <c r="E65" s="126"/>
      <c r="M65" s="94"/>
      <c r="N65" s="94"/>
      <c r="O65" s="94"/>
      <c r="P65" s="94"/>
      <c r="Q65" s="94"/>
      <c r="R65" s="94"/>
      <c r="S65" s="94"/>
    </row>
    <row r="66" ht="15.75" customHeight="1">
      <c r="A66" s="95"/>
      <c r="B66" s="95"/>
      <c r="C66" s="95"/>
      <c r="M66" s="94"/>
      <c r="N66" s="94"/>
      <c r="O66" s="94"/>
      <c r="P66" s="94"/>
      <c r="Q66" s="94"/>
      <c r="R66" s="96" t="s">
        <v>144</v>
      </c>
      <c r="S66" s="96">
        <f>'M-TEK manipulated'!$R$64+'M-TEK manipulated'!$S$64</f>
        <v>213.2886003</v>
      </c>
    </row>
    <row r="67" ht="15.75" customHeight="1">
      <c r="M67" s="94"/>
      <c r="N67" s="94"/>
      <c r="O67" s="94"/>
      <c r="P67" s="94"/>
      <c r="Q67" s="94"/>
      <c r="R67" s="94"/>
      <c r="S67" s="94"/>
    </row>
    <row r="68" ht="15.75" customHeight="1">
      <c r="M68" s="94"/>
      <c r="N68" s="94"/>
      <c r="O68" s="94"/>
      <c r="P68" s="94"/>
      <c r="Q68" s="94"/>
      <c r="R68" s="94"/>
      <c r="S68" s="94"/>
    </row>
    <row r="69" ht="15.75" customHeight="1">
      <c r="M69" s="94"/>
      <c r="N69" s="94"/>
      <c r="O69" s="94"/>
      <c r="P69" s="94"/>
      <c r="Q69" s="94"/>
      <c r="R69" s="94"/>
      <c r="S69" s="94"/>
    </row>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31:C31"/>
    <mergeCell ref="A32:C32"/>
    <mergeCell ref="A33:C33"/>
    <mergeCell ref="E37:H37"/>
    <mergeCell ref="I37:L37"/>
    <mergeCell ref="F54:K54"/>
    <mergeCell ref="L54:O54"/>
    <mergeCell ref="P54:S54"/>
  </mergeCells>
  <conditionalFormatting sqref="E37 F54 H55:R55 H56 H57:R63 I37 J56:R56 L54 P54 S55:T63">
    <cfRule type="cellIs" dxfId="4" priority="1" operator="equal">
      <formula>0</formula>
    </cfRule>
  </conditionalFormatting>
  <conditionalFormatting sqref="E39:L44">
    <cfRule type="cellIs" dxfId="4" priority="2" operator="equal">
      <formula>0</formula>
    </cfRule>
  </conditionalFormatting>
  <conditionalFormatting sqref="I56">
    <cfRule type="cellIs" dxfId="4" priority="3" operator="equal">
      <formula>0</formula>
    </cfRule>
  </conditionalFormatting>
  <printOptions/>
  <pageMargins bottom="0.75" footer="0.0" header="0.0" left="0.7" right="0.7" top="0.75"/>
  <pageSetup orientation="landscape"/>
  <drawing r:id="rId2"/>
  <legacyDrawing r:id="rId3"/>
  <tableParts count="2">
    <tablePart r:id="rId6"/>
    <tablePart r:id="rId7"/>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CECDA"/>
    <pageSetUpPr/>
  </sheetPr>
  <sheetViews>
    <sheetView workbookViewId="0"/>
  </sheetViews>
  <sheetFormatPr customHeight="1" defaultColWidth="14.43" defaultRowHeight="15.0"/>
  <cols>
    <col customWidth="1" min="1" max="1" width="47.43"/>
    <col customWidth="1" min="2" max="2" width="22.86"/>
    <col customWidth="1" min="3" max="3" width="31.43"/>
    <col customWidth="1" min="4" max="4" width="9.57"/>
    <col customWidth="1" min="5" max="5" width="41.14"/>
    <col customWidth="1" min="6" max="6" width="14.0"/>
    <col customWidth="1" min="7" max="7" width="9.71"/>
    <col customWidth="1" min="8" max="8" width="11.43"/>
    <col customWidth="1" min="9" max="9" width="15.14"/>
    <col customWidth="1" min="10" max="10" width="14.43"/>
    <col customWidth="1" min="11" max="11" width="12.57"/>
    <col customWidth="1" min="12" max="12" width="140.71"/>
    <col customWidth="1" min="13" max="26" width="11.43"/>
  </cols>
  <sheetData>
    <row r="1">
      <c r="A1" s="140" t="s">
        <v>180</v>
      </c>
    </row>
    <row r="3">
      <c r="A3" s="15" t="s">
        <v>44</v>
      </c>
      <c r="B3" s="45">
        <f>'Resultat - M-tek'!$B$22</f>
        <v>6</v>
      </c>
      <c r="C3" s="17" t="s">
        <v>181</v>
      </c>
    </row>
    <row r="6">
      <c r="A6" s="141" t="s">
        <v>182</v>
      </c>
      <c r="B6" s="141" t="s">
        <v>183</v>
      </c>
      <c r="C6" s="141" t="s">
        <v>184</v>
      </c>
    </row>
    <row r="7" ht="64.5" customHeight="1">
      <c r="A7" s="142" t="s">
        <v>185</v>
      </c>
      <c r="B7" s="19"/>
      <c r="C7" s="20"/>
    </row>
    <row r="8">
      <c r="A8" s="143" t="s">
        <v>164</v>
      </c>
      <c r="B8" s="144" t="s">
        <v>186</v>
      </c>
      <c r="C8" s="144" t="s">
        <v>187</v>
      </c>
    </row>
    <row r="9">
      <c r="A9" s="143" t="s">
        <v>188</v>
      </c>
      <c r="B9" s="144" t="s">
        <v>189</v>
      </c>
      <c r="C9" s="144" t="s">
        <v>190</v>
      </c>
      <c r="G9" s="145"/>
    </row>
    <row r="10">
      <c r="A10" s="146" t="s">
        <v>43</v>
      </c>
      <c r="B10" s="144" t="s">
        <v>191</v>
      </c>
      <c r="C10" s="144" t="s">
        <v>192</v>
      </c>
    </row>
    <row r="11">
      <c r="A11" s="146" t="s">
        <v>147</v>
      </c>
      <c r="B11" s="144" t="s">
        <v>193</v>
      </c>
      <c r="C11" s="144" t="s">
        <v>192</v>
      </c>
    </row>
    <row r="13">
      <c r="B13" s="17"/>
    </row>
    <row r="14">
      <c r="A14" s="147" t="s">
        <v>194</v>
      </c>
      <c r="B14" s="148" t="s">
        <v>195</v>
      </c>
      <c r="C14" s="148" t="s">
        <v>196</v>
      </c>
      <c r="D14" s="148" t="s">
        <v>197</v>
      </c>
      <c r="E14" s="148" t="s">
        <v>198</v>
      </c>
      <c r="F14" s="148" t="s">
        <v>199</v>
      </c>
      <c r="G14" s="148" t="s">
        <v>200</v>
      </c>
      <c r="H14" s="148" t="s">
        <v>201</v>
      </c>
      <c r="I14" s="148" t="s">
        <v>202</v>
      </c>
      <c r="J14" s="148" t="s">
        <v>203</v>
      </c>
      <c r="K14" s="148" t="s">
        <v>204</v>
      </c>
      <c r="L14" s="149" t="s">
        <v>205</v>
      </c>
    </row>
    <row r="15">
      <c r="A15" s="150" t="s">
        <v>206</v>
      </c>
      <c r="B15" s="151">
        <v>40.0</v>
      </c>
      <c r="C15" s="151">
        <v>1.0</v>
      </c>
      <c r="D15" s="151">
        <v>1.0</v>
      </c>
      <c r="E15" s="78"/>
      <c r="F15" s="152">
        <f>'M-TEK manipulated'!C45/1000</f>
        <v>0.0071</v>
      </c>
      <c r="G15" s="152">
        <f t="shared" ref="G15:G18" si="1">(F15*B15)*C15*D15</f>
        <v>0.284</v>
      </c>
      <c r="H15" s="151">
        <f t="shared" ref="H15:H18" si="2">B15*C15*D15</f>
        <v>40</v>
      </c>
      <c r="I15" s="153">
        <f t="shared" ref="I15:I18" si="3">G15*$C$22</f>
        <v>0.1633284</v>
      </c>
      <c r="J15" s="154">
        <f t="shared" ref="J15:J18" si="4">H15*$C$23</f>
        <v>9.216</v>
      </c>
      <c r="K15" s="155">
        <f t="shared" ref="K15:K18" si="5">(J15-I15)/J15</f>
        <v>0.9822777344</v>
      </c>
      <c r="L15" s="156" t="s">
        <v>207</v>
      </c>
    </row>
    <row r="16">
      <c r="A16" s="150" t="s">
        <v>208</v>
      </c>
      <c r="B16" s="151">
        <v>40.0</v>
      </c>
      <c r="C16" s="151">
        <v>4.0</v>
      </c>
      <c r="D16" s="151">
        <v>1.0</v>
      </c>
      <c r="E16" s="78"/>
      <c r="F16" s="152">
        <f>'M-TEK manipulated'!$G$64/1000</f>
        <v>0.23554</v>
      </c>
      <c r="G16" s="152">
        <f t="shared" si="1"/>
        <v>37.6864</v>
      </c>
      <c r="H16" s="151">
        <f t="shared" si="2"/>
        <v>160</v>
      </c>
      <c r="I16" s="153">
        <f t="shared" si="3"/>
        <v>21.67344864</v>
      </c>
      <c r="J16" s="154">
        <f t="shared" si="4"/>
        <v>36.864</v>
      </c>
      <c r="K16" s="155">
        <f t="shared" si="5"/>
        <v>0.4120700781</v>
      </c>
      <c r="L16" s="156"/>
    </row>
    <row r="17">
      <c r="A17" s="157" t="s">
        <v>209</v>
      </c>
      <c r="B17" s="151">
        <v>40.0</v>
      </c>
      <c r="C17" s="151">
        <v>20.0</v>
      </c>
      <c r="D17" s="151">
        <v>1.5</v>
      </c>
      <c r="E17" s="78"/>
      <c r="F17" s="152">
        <f>'Base case- rivet bad gjenbruk'!$G$34/1000</f>
        <v>1.408294</v>
      </c>
      <c r="G17" s="152">
        <f t="shared" si="1"/>
        <v>1689.9528</v>
      </c>
      <c r="H17" s="151">
        <f t="shared" si="2"/>
        <v>1200</v>
      </c>
      <c r="I17" s="153">
        <f t="shared" si="3"/>
        <v>971.8918553</v>
      </c>
      <c r="J17" s="154">
        <f t="shared" si="4"/>
        <v>276.48</v>
      </c>
      <c r="K17" s="155">
        <f t="shared" si="5"/>
        <v>-2.515233852</v>
      </c>
      <c r="L17" s="156"/>
    </row>
    <row r="18">
      <c r="A18" s="158" t="s">
        <v>210</v>
      </c>
      <c r="B18" s="159">
        <v>40.0</v>
      </c>
      <c r="C18" s="159">
        <v>20.0</v>
      </c>
      <c r="D18" s="159">
        <v>1.5</v>
      </c>
      <c r="E18" s="159"/>
      <c r="F18" s="160">
        <f>'Base case- rivet bad'!$G$34/1000</f>
        <v>1.5354712</v>
      </c>
      <c r="G18" s="161">
        <f t="shared" si="1"/>
        <v>1842.56544</v>
      </c>
      <c r="H18" s="159">
        <f t="shared" si="2"/>
        <v>1200</v>
      </c>
      <c r="I18" s="162">
        <f t="shared" si="3"/>
        <v>1059.659385</v>
      </c>
      <c r="J18" s="163">
        <f t="shared" si="4"/>
        <v>276.48</v>
      </c>
      <c r="K18" s="164">
        <f t="shared" si="5"/>
        <v>-2.832680066</v>
      </c>
      <c r="L18" s="165" t="s">
        <v>211</v>
      </c>
    </row>
    <row r="21" ht="15.75" customHeight="1"/>
    <row r="22" ht="15.75" customHeight="1">
      <c r="A22" s="166" t="s">
        <v>212</v>
      </c>
      <c r="B22" s="167" t="s">
        <v>213</v>
      </c>
      <c r="C22" s="168">
        <v>0.5751</v>
      </c>
      <c r="D22" s="167" t="s">
        <v>214</v>
      </c>
      <c r="E22" s="167" t="s">
        <v>215</v>
      </c>
      <c r="F22" s="169"/>
    </row>
    <row r="23" ht="15.75" customHeight="1">
      <c r="A23" s="170" t="s">
        <v>212</v>
      </c>
      <c r="B23" s="171" t="s">
        <v>213</v>
      </c>
      <c r="C23" s="172">
        <v>0.2304</v>
      </c>
      <c r="D23" s="171" t="s">
        <v>216</v>
      </c>
      <c r="E23" s="171" t="s">
        <v>215</v>
      </c>
      <c r="F23" s="173"/>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7:C7"/>
  </mergeCells>
  <printOptions/>
  <pageMargins bottom="0.75" footer="0.0" header="0.0" left="0.7" right="0.7" top="0.75"/>
  <pageSetup orientation="landscape"/>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AE1D3"/>
    <pageSetUpPr/>
  </sheetPr>
  <sheetViews>
    <sheetView workbookViewId="0"/>
  </sheetViews>
  <sheetFormatPr customHeight="1" defaultColWidth="14.43" defaultRowHeight="15.0"/>
  <cols>
    <col customWidth="1" min="1" max="1" width="24.71"/>
    <col customWidth="1" min="2" max="2" width="10.71"/>
    <col customWidth="1" min="3" max="3" width="11.0"/>
    <col customWidth="1" min="4" max="4" width="11.14"/>
    <col customWidth="1" min="5" max="5" width="11.71"/>
    <col customWidth="1" min="6" max="26" width="8.71"/>
  </cols>
  <sheetData>
    <row r="1">
      <c r="A1" s="12" t="s">
        <v>18</v>
      </c>
    </row>
    <row r="2" ht="15.0" customHeight="1">
      <c r="A2" s="12"/>
    </row>
    <row r="3" ht="15.0" customHeight="1">
      <c r="A3" s="12"/>
    </row>
    <row r="4" ht="15.0" customHeight="1">
      <c r="A4" s="12"/>
    </row>
    <row r="5" ht="15.0" customHeight="1">
      <c r="A5" s="12"/>
    </row>
    <row r="6" ht="15.0" customHeight="1">
      <c r="A6" s="12"/>
    </row>
    <row r="7" ht="15.0" customHeight="1">
      <c r="A7" s="12"/>
    </row>
    <row r="8" ht="15.0" customHeight="1">
      <c r="A8" s="12"/>
    </row>
    <row r="9" ht="15.0" customHeight="1">
      <c r="A9" s="12"/>
    </row>
    <row r="10" ht="15.0" customHeight="1">
      <c r="A10" s="12"/>
    </row>
    <row r="11" ht="15.0" customHeight="1">
      <c r="A11" s="12"/>
    </row>
    <row r="12" ht="15.0" customHeight="1">
      <c r="A12" s="12"/>
    </row>
    <row r="13" ht="15.0" customHeight="1">
      <c r="A13" s="12"/>
    </row>
    <row r="14" ht="15.0" customHeight="1">
      <c r="A14" s="12"/>
    </row>
    <row r="15" ht="15.0" customHeight="1">
      <c r="A15" s="12"/>
    </row>
    <row r="16" ht="15.0" customHeight="1">
      <c r="A16" s="12"/>
    </row>
    <row r="17" ht="15.0" customHeight="1">
      <c r="A17" s="12"/>
    </row>
    <row r="18" ht="15.0" customHeight="1">
      <c r="A18" s="12"/>
    </row>
    <row r="19" ht="15.0" customHeight="1">
      <c r="A19" s="12"/>
    </row>
    <row r="21" ht="15.75" customHeight="1"/>
    <row r="22" ht="15.75" customHeight="1">
      <c r="A22" s="15" t="s">
        <v>44</v>
      </c>
      <c r="B22" s="45">
        <f>'Resultat - M-tek'!$B$22</f>
        <v>6</v>
      </c>
      <c r="C22" s="17"/>
    </row>
    <row r="23" ht="15.75" customHeight="1">
      <c r="A23" s="17"/>
    </row>
    <row r="24" ht="15.75" customHeight="1"/>
    <row r="25" ht="15.75" customHeight="1">
      <c r="A25" s="18" t="s">
        <v>20</v>
      </c>
      <c r="B25" s="19"/>
      <c r="C25" s="19"/>
      <c r="D25" s="19"/>
      <c r="E25" s="20"/>
    </row>
    <row r="26" ht="15.75" customHeight="1">
      <c r="A26" s="22"/>
      <c r="B26" s="23" t="s">
        <v>217</v>
      </c>
      <c r="C26" s="23" t="s">
        <v>31</v>
      </c>
      <c r="D26" s="23" t="s">
        <v>32</v>
      </c>
      <c r="E26" s="24" t="s">
        <v>33</v>
      </c>
      <c r="F26" s="25"/>
    </row>
    <row r="27" ht="15.75" customHeight="1">
      <c r="A27" s="26" t="s">
        <v>218</v>
      </c>
      <c r="B27" s="27">
        <f>'Base case- rivet bad gjenbruk'!$R$34</f>
        <v>1248.467332</v>
      </c>
      <c r="C27" s="174">
        <f>'Transport manipulated'!I17</f>
        <v>971.8918553</v>
      </c>
      <c r="D27" s="27">
        <f>'Base case- rivet bad gjenbruk'!$S$34</f>
        <v>295.7771859</v>
      </c>
      <c r="E27" s="28">
        <f t="shared" ref="E27:E29" si="1">SUM(B27:D27)</f>
        <v>2516.136373</v>
      </c>
    </row>
    <row r="28" ht="15.75" customHeight="1">
      <c r="A28" s="26" t="s">
        <v>164</v>
      </c>
      <c r="B28" s="27">
        <f>'M-TEK manipulated'!K45</f>
        <v>2.772268831</v>
      </c>
      <c r="C28" s="174">
        <f>'Transport manipulated'!I15</f>
        <v>0.1633284</v>
      </c>
      <c r="D28" s="27">
        <f>'M-TEK manipulated'!L45</f>
        <v>0.311664936</v>
      </c>
      <c r="E28" s="28">
        <f t="shared" si="1"/>
        <v>3.247262167</v>
      </c>
    </row>
    <row r="29" ht="15.75" customHeight="1">
      <c r="A29" s="26" t="s">
        <v>172</v>
      </c>
      <c r="B29" s="27">
        <f>'M-TEK manipulated'!$R$64</f>
        <v>191.8563424</v>
      </c>
      <c r="C29" s="174">
        <f>'Transport manipulated'!I16</f>
        <v>21.67344864</v>
      </c>
      <c r="D29" s="27">
        <f>'M-TEK manipulated'!$S$64</f>
        <v>21.43225787</v>
      </c>
      <c r="E29" s="28">
        <f t="shared" si="1"/>
        <v>234.9620489</v>
      </c>
    </row>
    <row r="30" ht="15.75" customHeight="1"/>
    <row r="31" ht="15.75" customHeight="1"/>
    <row r="32" ht="15.75" customHeight="1"/>
    <row r="33" ht="15.75" customHeight="1"/>
    <row r="34" ht="15.75" customHeight="1"/>
    <row r="35" ht="15.75" customHeight="1"/>
    <row r="36" ht="15.75" customHeight="1">
      <c r="A36" s="32" t="s">
        <v>39</v>
      </c>
      <c r="B36" s="19"/>
      <c r="C36" s="19"/>
      <c r="D36" s="19"/>
      <c r="E36" s="20"/>
    </row>
    <row r="37" ht="27.0" customHeight="1">
      <c r="A37" s="33"/>
      <c r="B37" s="34" t="s">
        <v>217</v>
      </c>
      <c r="C37" s="34" t="s">
        <v>31</v>
      </c>
      <c r="D37" s="34" t="s">
        <v>32</v>
      </c>
      <c r="E37" s="34" t="s">
        <v>33</v>
      </c>
      <c r="I37" s="35"/>
    </row>
    <row r="38" ht="15.75" customHeight="1">
      <c r="A38" s="26" t="s">
        <v>218</v>
      </c>
      <c r="B38" s="27">
        <f>'Base case- rivet bad gjenbruk'!$R$34</f>
        <v>1248.467332</v>
      </c>
      <c r="C38" s="174">
        <f>'Transport manipulated'!I17</f>
        <v>971.8918553</v>
      </c>
      <c r="D38" s="27">
        <f>'Base case- rivet bad gjenbruk'!$S$34</f>
        <v>295.7771859</v>
      </c>
      <c r="E38" s="28">
        <f t="shared" ref="E38:E39" si="2">SUM(B38:D38)</f>
        <v>2516.136373</v>
      </c>
    </row>
    <row r="39" ht="15.75" customHeight="1">
      <c r="A39" s="26" t="s">
        <v>219</v>
      </c>
      <c r="B39" s="27">
        <f>'M-TEK manipulated'!K45+'M-TEK manipulated'!$R$64</f>
        <v>194.6286112</v>
      </c>
      <c r="C39" s="174">
        <f>'Transport manipulated'!I15+'Transport manipulated'!I16</f>
        <v>21.83677704</v>
      </c>
      <c r="D39" s="27">
        <f>'M-TEK manipulated'!L45+'M-TEK manipulated'!$S$64</f>
        <v>21.74392281</v>
      </c>
      <c r="E39" s="28">
        <f t="shared" si="2"/>
        <v>238.2093111</v>
      </c>
    </row>
    <row r="40" ht="15.75" customHeight="1">
      <c r="A40" s="36"/>
    </row>
    <row r="41" ht="15.75" customHeight="1">
      <c r="A41" s="36"/>
    </row>
    <row r="42" ht="15.75" customHeight="1">
      <c r="A42" s="36"/>
    </row>
    <row r="43" ht="15.75" customHeight="1">
      <c r="A43" s="36"/>
    </row>
    <row r="44" ht="15.75" customHeight="1">
      <c r="A44" s="36"/>
    </row>
    <row r="45" ht="15.75" customHeight="1"/>
    <row r="46" ht="15.75" customHeight="1">
      <c r="A46" s="37" t="s">
        <v>41</v>
      </c>
      <c r="B46" s="19"/>
      <c r="C46" s="19"/>
      <c r="D46" s="19"/>
      <c r="E46" s="20"/>
    </row>
    <row r="47" ht="27.75" customHeight="1">
      <c r="A47" s="38"/>
      <c r="B47" s="39" t="s">
        <v>217</v>
      </c>
      <c r="C47" s="39" t="s">
        <v>31</v>
      </c>
      <c r="D47" s="39" t="s">
        <v>32</v>
      </c>
      <c r="E47" s="39" t="s">
        <v>33</v>
      </c>
    </row>
    <row r="48" ht="15.75" customHeight="1">
      <c r="A48" s="26" t="s">
        <v>220</v>
      </c>
      <c r="B48" s="27">
        <f>'Base case- rivet bad'!$R$34</f>
        <v>1722.876532</v>
      </c>
      <c r="C48" s="174">
        <f>'Transport manipulated'!I18</f>
        <v>1059.659385</v>
      </c>
      <c r="D48" s="27">
        <f>'Base case- rivet bad'!$S$34</f>
        <v>300.6576859</v>
      </c>
      <c r="E48" s="28">
        <f t="shared" ref="E48:E49" si="3">SUM(B48:D48)</f>
        <v>3083.193602</v>
      </c>
    </row>
    <row r="49" ht="15.75" customHeight="1">
      <c r="A49" s="26" t="s">
        <v>219</v>
      </c>
      <c r="B49" s="27">
        <f>'M-TEK manipulated'!K45+'M-TEK manipulated'!$R$64</f>
        <v>194.6286112</v>
      </c>
      <c r="C49" s="174">
        <f>'Transport manipulated'!I15+'Transport manipulated'!I16</f>
        <v>21.83677704</v>
      </c>
      <c r="D49" s="27">
        <f>'M-TEK manipulated'!L45+'M-TEK manipulated'!$S$64</f>
        <v>21.74392281</v>
      </c>
      <c r="E49" s="28">
        <f t="shared" si="3"/>
        <v>238.2093111</v>
      </c>
    </row>
    <row r="50" ht="15.75" customHeight="1"/>
    <row r="51" ht="15.75" customHeight="1"/>
    <row r="52" ht="15.75" customHeight="1"/>
    <row r="53" ht="15.75" customHeight="1">
      <c r="A53" s="36"/>
    </row>
    <row r="54" ht="15.75" customHeight="1">
      <c r="A54" s="36"/>
    </row>
    <row r="55" ht="15.75" customHeight="1">
      <c r="A55" s="36"/>
    </row>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25:E25"/>
    <mergeCell ref="A36:E36"/>
    <mergeCell ref="A46:E46"/>
  </mergeCells>
  <printOptions/>
  <pageMargins bottom="0.75" footer="0.0" header="0.0" left="0.7" right="0.7" top="0.75"/>
  <pageSetup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5E9ED"/>
    <pageSetUpPr/>
  </sheetPr>
  <sheetViews>
    <sheetView workbookViewId="0"/>
  </sheetViews>
  <sheetFormatPr customHeight="1" defaultColWidth="14.43" defaultRowHeight="15.0"/>
  <cols>
    <col customWidth="1" min="1" max="1" width="38.86"/>
    <col customWidth="1" min="2" max="2" width="43.14"/>
    <col customWidth="1" min="3" max="3" width="30.71"/>
    <col customWidth="1" min="4" max="4" width="17.71"/>
    <col customWidth="1" min="5" max="5" width="7.14"/>
    <col customWidth="1" min="6" max="6" width="16.71"/>
    <col customWidth="1" min="7" max="7" width="7.29"/>
    <col customWidth="1" min="8" max="8" width="15.43"/>
    <col customWidth="1" min="9" max="9" width="8.29"/>
    <col customWidth="1" min="10" max="10" width="17.0"/>
    <col customWidth="1" min="11" max="11" width="14.0"/>
    <col customWidth="1" min="12" max="12" width="17.0"/>
    <col customWidth="1" min="13" max="13" width="16.86"/>
    <col customWidth="1" hidden="1" min="14" max="14" width="10.0"/>
    <col customWidth="1" min="15" max="16" width="16.86"/>
    <col customWidth="1" min="17" max="17" width="16.57"/>
    <col customWidth="1" min="18" max="18" width="9.14"/>
    <col customWidth="1" min="19" max="23" width="9.29"/>
    <col customWidth="1" min="24" max="26" width="9.14"/>
    <col customWidth="1" min="27" max="27" width="9.29"/>
    <col customWidth="1" min="28" max="28" width="9.14"/>
    <col customWidth="1" min="29" max="29" width="9.29"/>
    <col customWidth="1" min="30" max="33" width="9.14"/>
  </cols>
  <sheetData>
    <row r="1">
      <c r="A1" s="140" t="s">
        <v>221</v>
      </c>
      <c r="C1" s="36"/>
      <c r="D1" s="36"/>
      <c r="E1" s="36"/>
      <c r="F1" s="36"/>
      <c r="G1" s="36"/>
      <c r="H1" s="36"/>
      <c r="I1" s="36"/>
      <c r="J1" s="36"/>
      <c r="K1" s="36"/>
      <c r="L1" s="175"/>
      <c r="M1" s="36"/>
      <c r="N1" s="36"/>
      <c r="O1" s="36"/>
      <c r="P1" s="36"/>
      <c r="Q1" s="36"/>
    </row>
    <row r="2">
      <c r="E2" s="36"/>
      <c r="F2" s="36"/>
      <c r="G2" s="36"/>
      <c r="H2" s="36"/>
      <c r="I2" s="36"/>
      <c r="S2" s="176" t="s">
        <v>222</v>
      </c>
    </row>
    <row r="3">
      <c r="A3" s="177" t="s">
        <v>48</v>
      </c>
      <c r="B3" s="178" t="s">
        <v>223</v>
      </c>
      <c r="C3" s="178" t="s">
        <v>224</v>
      </c>
      <c r="D3" s="178" t="s">
        <v>225</v>
      </c>
      <c r="E3" s="179" t="s">
        <v>226</v>
      </c>
      <c r="F3" s="179" t="s">
        <v>227</v>
      </c>
      <c r="G3" s="179" t="s">
        <v>228</v>
      </c>
      <c r="H3" s="180" t="s">
        <v>229</v>
      </c>
      <c r="I3" s="179" t="s">
        <v>230</v>
      </c>
      <c r="J3" s="180" t="s">
        <v>231</v>
      </c>
      <c r="K3" s="179" t="s">
        <v>232</v>
      </c>
      <c r="L3" s="180" t="s">
        <v>233</v>
      </c>
      <c r="M3" s="180" t="s">
        <v>234</v>
      </c>
      <c r="N3" s="180" t="s">
        <v>235</v>
      </c>
      <c r="O3" s="181" t="s">
        <v>236</v>
      </c>
      <c r="P3" s="181" t="s">
        <v>237</v>
      </c>
      <c r="Q3" s="181" t="s">
        <v>238</v>
      </c>
      <c r="R3" s="181" t="s">
        <v>239</v>
      </c>
      <c r="T3" s="182" t="s">
        <v>240</v>
      </c>
      <c r="U3" s="182" t="s">
        <v>241</v>
      </c>
      <c r="V3" s="182" t="s">
        <v>242</v>
      </c>
      <c r="W3" s="182" t="s">
        <v>243</v>
      </c>
      <c r="X3" s="182" t="s">
        <v>244</v>
      </c>
      <c r="Z3" s="183"/>
    </row>
    <row r="4">
      <c r="A4" s="184" t="s">
        <v>69</v>
      </c>
      <c r="B4" s="185" t="s">
        <v>72</v>
      </c>
      <c r="C4" s="186" t="s">
        <v>245</v>
      </c>
      <c r="D4" s="187" t="s">
        <v>246</v>
      </c>
      <c r="E4" s="188" t="s">
        <v>247</v>
      </c>
      <c r="F4" s="188">
        <v>670.78</v>
      </c>
      <c r="G4" s="188" t="s">
        <v>248</v>
      </c>
      <c r="H4" s="188">
        <v>682.73</v>
      </c>
      <c r="I4" s="188" t="s">
        <v>248</v>
      </c>
      <c r="J4" s="189">
        <v>201.0</v>
      </c>
      <c r="K4" s="189">
        <v>16.9</v>
      </c>
      <c r="L4" s="189">
        <f t="shared" ref="L4:L14" si="1">SUM(J4:K4)</f>
        <v>217.9</v>
      </c>
      <c r="M4" s="189">
        <f>0.00838+7.4+116+0.0627</f>
        <v>123.47108</v>
      </c>
      <c r="N4" s="189"/>
      <c r="O4" s="190">
        <f t="shared" ref="O4:O12" si="2">J4/H4</f>
        <v>0.2944062807</v>
      </c>
      <c r="P4" s="190">
        <f>IF('EPD data'!$H4&gt;0,'EPD data'!$K4/'EPD data'!$H4,'EPD data'!$K4/'EPD data'!$F4)</f>
        <v>0.0247535629</v>
      </c>
      <c r="Q4" s="190">
        <f t="shared" ref="Q4:Q12" si="3">IFERROR(L4/H4,"-")</f>
        <v>0.3191598436</v>
      </c>
      <c r="R4" s="190">
        <f t="shared" ref="R4:R12" si="4">IFERROR(M4/H4,"-")</f>
        <v>0.1808490619</v>
      </c>
      <c r="T4" s="191">
        <v>0.00838</v>
      </c>
      <c r="U4" s="192">
        <v>7.4</v>
      </c>
      <c r="V4" s="192">
        <v>116.0</v>
      </c>
      <c r="W4" s="192">
        <v>0.0627</v>
      </c>
      <c r="X4" s="191">
        <f t="shared" ref="X4:X8" si="5">SUM(T4:W4)</f>
        <v>123.47108</v>
      </c>
      <c r="Z4" s="128"/>
      <c r="AF4" s="193"/>
      <c r="AG4" s="193"/>
    </row>
    <row r="5">
      <c r="A5" s="184" t="s">
        <v>74</v>
      </c>
      <c r="B5" s="194" t="s">
        <v>75</v>
      </c>
      <c r="C5" s="186" t="s">
        <v>245</v>
      </c>
      <c r="D5" s="195" t="s">
        <v>246</v>
      </c>
      <c r="E5" s="184" t="s">
        <v>247</v>
      </c>
      <c r="F5" s="184">
        <v>480.0</v>
      </c>
      <c r="G5" s="184" t="s">
        <v>248</v>
      </c>
      <c r="H5" s="184">
        <f>(F5+0.19+0.6)</f>
        <v>480.79</v>
      </c>
      <c r="I5" s="184" t="s">
        <v>248</v>
      </c>
      <c r="J5" s="196">
        <v>48.1</v>
      </c>
      <c r="K5" s="196">
        <v>4.42</v>
      </c>
      <c r="L5" s="196">
        <f t="shared" si="1"/>
        <v>52.52</v>
      </c>
      <c r="M5" s="196">
        <f t="shared" ref="M5:M8" si="6">X5</f>
        <v>13.28881</v>
      </c>
      <c r="N5" s="196"/>
      <c r="O5" s="197">
        <f t="shared" si="2"/>
        <v>0.1000436781</v>
      </c>
      <c r="P5" s="190">
        <f>IF('EPD data'!$H5&gt;0,'EPD data'!$K5/'EPD data'!$H5,'EPD data'!$K5/'EPD data'!$F5)</f>
        <v>0.009193202854</v>
      </c>
      <c r="Q5" s="197">
        <f t="shared" si="3"/>
        <v>0.109236881</v>
      </c>
      <c r="R5" s="190">
        <f t="shared" si="4"/>
        <v>0.02763953077</v>
      </c>
      <c r="T5" s="191">
        <v>0.00881</v>
      </c>
      <c r="U5" s="191">
        <v>6.7</v>
      </c>
      <c r="V5" s="191">
        <v>4.63</v>
      </c>
      <c r="W5" s="191">
        <v>1.95</v>
      </c>
      <c r="X5" s="191">
        <f t="shared" si="5"/>
        <v>13.28881</v>
      </c>
      <c r="AF5" s="193"/>
      <c r="AG5" s="193"/>
    </row>
    <row r="6">
      <c r="A6" s="198" t="s">
        <v>76</v>
      </c>
      <c r="B6" s="199" t="s">
        <v>76</v>
      </c>
      <c r="C6" s="200" t="s">
        <v>245</v>
      </c>
      <c r="D6" s="201" t="s">
        <v>246</v>
      </c>
      <c r="E6" s="198" t="s">
        <v>249</v>
      </c>
      <c r="F6" s="198">
        <v>7.18</v>
      </c>
      <c r="G6" s="198" t="s">
        <v>250</v>
      </c>
      <c r="H6" s="198">
        <v>7.35</v>
      </c>
      <c r="I6" s="198" t="s">
        <v>250</v>
      </c>
      <c r="J6" s="202">
        <v>1.0</v>
      </c>
      <c r="K6" s="203">
        <v>0.0695</v>
      </c>
      <c r="L6" s="202">
        <f t="shared" si="1"/>
        <v>1.0695</v>
      </c>
      <c r="M6" s="202">
        <f t="shared" si="6"/>
        <v>0.139473</v>
      </c>
      <c r="N6" s="202"/>
      <c r="O6" s="204">
        <f t="shared" si="2"/>
        <v>0.1360544218</v>
      </c>
      <c r="P6" s="190">
        <f>IF('EPD data'!$H6&gt;0,'EPD data'!$K6/'EPD data'!$H6,'EPD data'!$K6/'EPD data'!$F6)</f>
        <v>0.009455782313</v>
      </c>
      <c r="Q6" s="204">
        <f t="shared" si="3"/>
        <v>0.1455102041</v>
      </c>
      <c r="R6" s="205">
        <f t="shared" si="4"/>
        <v>0.01897591837</v>
      </c>
      <c r="T6" s="191">
        <v>8.9E-5</v>
      </c>
      <c r="U6" s="191">
        <v>0.077</v>
      </c>
      <c r="V6" s="191">
        <v>9.84E-4</v>
      </c>
      <c r="W6" s="191">
        <v>0.0614</v>
      </c>
      <c r="X6" s="191">
        <f t="shared" si="5"/>
        <v>0.139473</v>
      </c>
      <c r="AF6" s="193"/>
      <c r="AG6" s="193"/>
    </row>
    <row r="7">
      <c r="A7" s="184" t="s">
        <v>77</v>
      </c>
      <c r="B7" s="194" t="s">
        <v>79</v>
      </c>
      <c r="C7" s="206" t="s">
        <v>251</v>
      </c>
      <c r="D7" s="195" t="s">
        <v>246</v>
      </c>
      <c r="E7" s="184" t="s">
        <v>249</v>
      </c>
      <c r="F7" s="184">
        <v>1.73</v>
      </c>
      <c r="G7" s="184" t="s">
        <v>250</v>
      </c>
      <c r="H7" s="184">
        <v>1.75</v>
      </c>
      <c r="I7" s="184" t="s">
        <v>250</v>
      </c>
      <c r="J7" s="196">
        <v>13.2</v>
      </c>
      <c r="K7" s="207">
        <v>0.0856</v>
      </c>
      <c r="L7" s="196">
        <f t="shared" si="1"/>
        <v>13.2856</v>
      </c>
      <c r="M7" s="196">
        <f t="shared" si="6"/>
        <v>4.07534</v>
      </c>
      <c r="N7" s="196"/>
      <c r="O7" s="197">
        <f t="shared" si="2"/>
        <v>7.542857143</v>
      </c>
      <c r="P7" s="190">
        <f>IF('EPD data'!$H7&gt;0,'EPD data'!$K7/'EPD data'!$H7,'EPD data'!$K7/'EPD data'!$F7)</f>
        <v>0.04891428571</v>
      </c>
      <c r="Q7" s="197">
        <f t="shared" si="3"/>
        <v>7.591771429</v>
      </c>
      <c r="R7" s="197">
        <f t="shared" si="4"/>
        <v>2.328765714</v>
      </c>
      <c r="T7" s="191">
        <v>0.0</v>
      </c>
      <c r="U7" s="191">
        <v>0.0242</v>
      </c>
      <c r="V7" s="191">
        <v>4.05</v>
      </c>
      <c r="W7" s="191">
        <v>0.00114</v>
      </c>
      <c r="X7" s="191">
        <f t="shared" si="5"/>
        <v>4.07534</v>
      </c>
      <c r="AF7" s="193"/>
      <c r="AG7" s="193"/>
    </row>
    <row r="8">
      <c r="A8" s="184" t="s">
        <v>80</v>
      </c>
      <c r="B8" s="194" t="s">
        <v>82</v>
      </c>
      <c r="C8" s="206" t="s">
        <v>251</v>
      </c>
      <c r="D8" s="195" t="s">
        <v>252</v>
      </c>
      <c r="E8" s="184" t="s">
        <v>249</v>
      </c>
      <c r="F8" s="184">
        <v>2.9</v>
      </c>
      <c r="G8" s="184" t="s">
        <v>250</v>
      </c>
      <c r="H8" s="184">
        <v>2.9</v>
      </c>
      <c r="I8" s="184" t="s">
        <v>250</v>
      </c>
      <c r="J8" s="196">
        <v>2.82</v>
      </c>
      <c r="K8" s="196">
        <v>0.103</v>
      </c>
      <c r="L8" s="196">
        <f t="shared" si="1"/>
        <v>2.923</v>
      </c>
      <c r="M8" s="196">
        <f t="shared" si="6"/>
        <v>0.0508</v>
      </c>
      <c r="N8" s="196"/>
      <c r="O8" s="197">
        <f t="shared" si="2"/>
        <v>0.9724137931</v>
      </c>
      <c r="P8" s="190">
        <f>IF('EPD data'!$H8&gt;0,'EPD data'!$K8/'EPD data'!$H8,'EPD data'!$K8/'EPD data'!$F8)</f>
        <v>0.03551724138</v>
      </c>
      <c r="Q8" s="197">
        <f t="shared" si="3"/>
        <v>1.007931034</v>
      </c>
      <c r="R8" s="197">
        <f t="shared" si="4"/>
        <v>0.01751724138</v>
      </c>
      <c r="T8" s="191">
        <v>0.0</v>
      </c>
      <c r="U8" s="191">
        <v>0.0101</v>
      </c>
      <c r="V8" s="191">
        <v>0.0</v>
      </c>
      <c r="W8" s="191">
        <v>0.0407</v>
      </c>
      <c r="X8" s="191">
        <f t="shared" si="5"/>
        <v>0.0508</v>
      </c>
      <c r="AF8" s="193"/>
      <c r="AG8" s="193"/>
    </row>
    <row r="9">
      <c r="A9" s="184" t="s">
        <v>83</v>
      </c>
      <c r="B9" s="194" t="s">
        <v>85</v>
      </c>
      <c r="C9" s="206" t="s">
        <v>253</v>
      </c>
      <c r="D9" s="195" t="s">
        <v>252</v>
      </c>
      <c r="E9" s="184" t="s">
        <v>254</v>
      </c>
      <c r="F9" s="208">
        <v>1.0</v>
      </c>
      <c r="G9" s="209" t="s">
        <v>255</v>
      </c>
      <c r="H9" s="208">
        <v>1.0</v>
      </c>
      <c r="I9" s="209" t="s">
        <v>255</v>
      </c>
      <c r="J9" s="196">
        <f>2.49+0.0768+0.096</f>
        <v>2.6628</v>
      </c>
      <c r="K9" s="208">
        <v>0.0</v>
      </c>
      <c r="L9" s="196">
        <f t="shared" si="1"/>
        <v>2.6628</v>
      </c>
      <c r="M9" s="210">
        <v>0.0</v>
      </c>
      <c r="N9" s="210"/>
      <c r="O9" s="197">
        <f t="shared" si="2"/>
        <v>2.6628</v>
      </c>
      <c r="P9" s="190">
        <f>IF('EPD data'!$H9&gt;0,'EPD data'!$K9/'EPD data'!$H9,'EPD data'!$K9/'EPD data'!$F9)</f>
        <v>0</v>
      </c>
      <c r="Q9" s="197">
        <f t="shared" si="3"/>
        <v>2.6628</v>
      </c>
      <c r="R9" s="197">
        <f t="shared" si="4"/>
        <v>0</v>
      </c>
      <c r="T9" s="191"/>
      <c r="U9" s="191"/>
      <c r="V9" s="191"/>
      <c r="W9" s="191"/>
      <c r="X9" s="191"/>
      <c r="AF9" s="193"/>
      <c r="AG9" s="193"/>
    </row>
    <row r="10">
      <c r="A10" s="184" t="s">
        <v>86</v>
      </c>
      <c r="B10" s="194" t="s">
        <v>88</v>
      </c>
      <c r="C10" s="206" t="s">
        <v>253</v>
      </c>
      <c r="D10" s="195" t="s">
        <v>256</v>
      </c>
      <c r="E10" s="184" t="s">
        <v>254</v>
      </c>
      <c r="F10" s="208">
        <v>1.0</v>
      </c>
      <c r="G10" s="209" t="s">
        <v>255</v>
      </c>
      <c r="H10" s="208">
        <v>1.0</v>
      </c>
      <c r="I10" s="209" t="s">
        <v>255</v>
      </c>
      <c r="J10" s="196">
        <v>0.171</v>
      </c>
      <c r="K10" s="208">
        <v>0.0</v>
      </c>
      <c r="L10" s="196">
        <f t="shared" si="1"/>
        <v>0.171</v>
      </c>
      <c r="M10" s="210">
        <v>0.0</v>
      </c>
      <c r="N10" s="210"/>
      <c r="O10" s="197">
        <f t="shared" si="2"/>
        <v>0.171</v>
      </c>
      <c r="P10" s="190">
        <f>IF('EPD data'!$H10&gt;0,'EPD data'!$K10/'EPD data'!$H10,'EPD data'!$K10/'EPD data'!$F10)</f>
        <v>0</v>
      </c>
      <c r="Q10" s="197">
        <f t="shared" si="3"/>
        <v>0.171</v>
      </c>
      <c r="R10" s="197">
        <f t="shared" si="4"/>
        <v>0</v>
      </c>
      <c r="T10" s="191"/>
      <c r="U10" s="191"/>
      <c r="V10" s="191"/>
      <c r="W10" s="191"/>
      <c r="X10" s="191"/>
      <c r="AF10" s="193"/>
      <c r="AG10" s="193"/>
    </row>
    <row r="11">
      <c r="A11" s="184"/>
      <c r="B11" s="194" t="s">
        <v>257</v>
      </c>
      <c r="C11" s="206" t="s">
        <v>253</v>
      </c>
      <c r="D11" s="195" t="s">
        <v>256</v>
      </c>
      <c r="E11" s="184" t="s">
        <v>254</v>
      </c>
      <c r="F11" s="208">
        <v>1.0</v>
      </c>
      <c r="G11" s="209" t="s">
        <v>255</v>
      </c>
      <c r="H11" s="208">
        <v>1.0</v>
      </c>
      <c r="I11" s="209" t="s">
        <v>255</v>
      </c>
      <c r="J11" s="196">
        <v>0.213</v>
      </c>
      <c r="K11" s="208">
        <v>0.0</v>
      </c>
      <c r="L11" s="196">
        <f t="shared" si="1"/>
        <v>0.213</v>
      </c>
      <c r="M11" s="210">
        <v>0.0</v>
      </c>
      <c r="N11" s="210"/>
      <c r="O11" s="197">
        <f t="shared" si="2"/>
        <v>0.213</v>
      </c>
      <c r="P11" s="190">
        <f>IF('EPD data'!$H11&gt;0,'EPD data'!$K11/'EPD data'!$H11,'EPD data'!$K11/'EPD data'!$F11)</f>
        <v>0</v>
      </c>
      <c r="Q11" s="197">
        <f t="shared" si="3"/>
        <v>0.213</v>
      </c>
      <c r="R11" s="197">
        <f t="shared" si="4"/>
        <v>0</v>
      </c>
      <c r="T11" s="191"/>
      <c r="U11" s="191"/>
      <c r="V11" s="191"/>
      <c r="W11" s="191"/>
      <c r="X11" s="191"/>
      <c r="AF11" s="193"/>
      <c r="AG11" s="193"/>
    </row>
    <row r="12">
      <c r="A12" s="184" t="s">
        <v>89</v>
      </c>
      <c r="B12" s="194" t="s">
        <v>91</v>
      </c>
      <c r="C12" s="211"/>
      <c r="D12" s="195" t="s">
        <v>256</v>
      </c>
      <c r="E12" s="184" t="s">
        <v>254</v>
      </c>
      <c r="F12" s="208">
        <v>1.0</v>
      </c>
      <c r="G12" s="209" t="s">
        <v>255</v>
      </c>
      <c r="H12" s="208">
        <v>1.0</v>
      </c>
      <c r="I12" s="209" t="s">
        <v>255</v>
      </c>
      <c r="J12" s="212">
        <v>0.393</v>
      </c>
      <c r="K12" s="212">
        <v>0.0102</v>
      </c>
      <c r="L12" s="196">
        <f t="shared" si="1"/>
        <v>0.4032</v>
      </c>
      <c r="M12" s="196">
        <f t="shared" ref="M12:M14" si="7">X12</f>
        <v>0.067994</v>
      </c>
      <c r="N12" s="196"/>
      <c r="O12" s="197">
        <f t="shared" si="2"/>
        <v>0.393</v>
      </c>
      <c r="P12" s="190">
        <f>IF('EPD data'!$H12&gt;0,'EPD data'!$K12/'EPD data'!$H12,'EPD data'!$K12/'EPD data'!$F12)</f>
        <v>0.0102</v>
      </c>
      <c r="Q12" s="197">
        <f t="shared" si="3"/>
        <v>0.4032</v>
      </c>
      <c r="R12" s="197">
        <f t="shared" si="4"/>
        <v>0.067994</v>
      </c>
      <c r="T12" s="191">
        <v>0.0567</v>
      </c>
      <c r="U12" s="191">
        <v>0.0102</v>
      </c>
      <c r="V12" s="191">
        <v>9.9E-4</v>
      </c>
      <c r="W12" s="191">
        <v>1.04E-4</v>
      </c>
      <c r="X12" s="191">
        <f t="shared" ref="X12:X14" si="8">SUM(T12:W12)</f>
        <v>0.067994</v>
      </c>
      <c r="Z12" s="176" t="s">
        <v>258</v>
      </c>
      <c r="AF12" s="193"/>
      <c r="AG12" s="193"/>
    </row>
    <row r="13">
      <c r="A13" s="184" t="s">
        <v>92</v>
      </c>
      <c r="B13" s="194" t="s">
        <v>94</v>
      </c>
      <c r="C13" s="211"/>
      <c r="D13" s="195" t="s">
        <v>256</v>
      </c>
      <c r="E13" s="184" t="s">
        <v>259</v>
      </c>
      <c r="F13" s="213">
        <v>3.57</v>
      </c>
      <c r="G13" s="209" t="s">
        <v>260</v>
      </c>
      <c r="H13" s="213"/>
      <c r="I13" s="209" t="s">
        <v>260</v>
      </c>
      <c r="J13" s="196">
        <v>16.2</v>
      </c>
      <c r="K13" s="196">
        <v>0.226</v>
      </c>
      <c r="L13" s="196">
        <f t="shared" si="1"/>
        <v>16.426</v>
      </c>
      <c r="M13" s="196">
        <f t="shared" si="7"/>
        <v>3.08534</v>
      </c>
      <c r="N13" s="196"/>
      <c r="O13" s="197">
        <f>J13/F13</f>
        <v>4.537815126</v>
      </c>
      <c r="P13" s="190">
        <f>IF('EPD data'!$H13&gt;0,'EPD data'!$K13/'EPD data'!$H13,'EPD data'!$K13/'EPD data'!$F13)</f>
        <v>0.06330532213</v>
      </c>
      <c r="Q13" s="197">
        <f>IFERROR(L13/F13,"-")</f>
        <v>4.601120448</v>
      </c>
      <c r="R13" s="197">
        <f>IFERROR(M13/F13,"-")</f>
        <v>0.8642408964</v>
      </c>
      <c r="T13" s="191">
        <v>0.0</v>
      </c>
      <c r="U13" s="191">
        <v>0.0</v>
      </c>
      <c r="V13" s="191">
        <v>3.08</v>
      </c>
      <c r="W13" s="191">
        <v>0.00534</v>
      </c>
      <c r="X13" s="191">
        <f t="shared" si="8"/>
        <v>3.08534</v>
      </c>
      <c r="Z13" s="182" t="s">
        <v>240</v>
      </c>
      <c r="AA13" s="182" t="s">
        <v>241</v>
      </c>
      <c r="AB13" s="182" t="s">
        <v>242</v>
      </c>
      <c r="AC13" s="182" t="s">
        <v>243</v>
      </c>
      <c r="AD13" s="182" t="s">
        <v>244</v>
      </c>
      <c r="AF13" s="193"/>
      <c r="AG13" s="193"/>
    </row>
    <row r="14">
      <c r="A14" s="184" t="s">
        <v>95</v>
      </c>
      <c r="B14" s="194" t="s">
        <v>97</v>
      </c>
      <c r="C14" s="211"/>
      <c r="D14" s="195" t="s">
        <v>246</v>
      </c>
      <c r="E14" s="184" t="s">
        <v>249</v>
      </c>
      <c r="F14" s="184">
        <v>8.804</v>
      </c>
      <c r="G14" s="184" t="s">
        <v>250</v>
      </c>
      <c r="H14" s="184">
        <v>8.873</v>
      </c>
      <c r="I14" s="184" t="s">
        <v>250</v>
      </c>
      <c r="J14" s="196">
        <v>1.59</v>
      </c>
      <c r="K14" s="196">
        <v>0.262</v>
      </c>
      <c r="L14" s="196">
        <f t="shared" si="1"/>
        <v>1.852</v>
      </c>
      <c r="M14" s="196">
        <f t="shared" si="7"/>
        <v>0.9033407</v>
      </c>
      <c r="N14" s="196">
        <f>AD14</f>
        <v>1.1127107</v>
      </c>
      <c r="O14" s="197">
        <f>J14/H14</f>
        <v>0.1791953116</v>
      </c>
      <c r="P14" s="190">
        <f>IF('EPD data'!$H14&gt;0,'EPD data'!$K14/'EPD data'!$H14,'EPD data'!$K14/'EPD data'!$F14)</f>
        <v>0.02952778091</v>
      </c>
      <c r="Q14" s="197">
        <f>IFERROR(L14/H14,"-")</f>
        <v>0.2087230925</v>
      </c>
      <c r="R14" s="197">
        <f>IFERROR(M14/H14,"-")</f>
        <v>0.1018078102</v>
      </c>
      <c r="T14" s="191">
        <v>1.07E-5</v>
      </c>
      <c r="U14" s="191">
        <v>0.344</v>
      </c>
      <c r="V14" s="191">
        <v>0.552</v>
      </c>
      <c r="W14" s="191">
        <v>0.00733</v>
      </c>
      <c r="X14" s="191">
        <f t="shared" si="8"/>
        <v>0.9033407</v>
      </c>
      <c r="Z14" s="214">
        <v>1.07E-5</v>
      </c>
      <c r="AA14" s="214">
        <v>0.0573</v>
      </c>
      <c r="AB14" s="214">
        <v>0.0354</v>
      </c>
      <c r="AC14" s="214">
        <v>1.02</v>
      </c>
      <c r="AD14" s="214">
        <f>SUM(Z14:AC14)</f>
        <v>1.1127107</v>
      </c>
      <c r="AF14" s="193"/>
      <c r="AG14" s="193"/>
    </row>
    <row r="15" ht="14.25" customHeight="1">
      <c r="A15" s="184" t="s">
        <v>98</v>
      </c>
      <c r="B15" s="215" t="s">
        <v>100</v>
      </c>
      <c r="C15" s="184" t="s">
        <v>261</v>
      </c>
      <c r="D15" s="184" t="s">
        <v>246</v>
      </c>
      <c r="E15" s="184" t="s">
        <v>254</v>
      </c>
      <c r="F15" s="184">
        <v>1.0</v>
      </c>
      <c r="G15" s="184"/>
      <c r="H15" s="184"/>
      <c r="I15" s="184"/>
      <c r="J15" s="184">
        <v>4.0233</v>
      </c>
      <c r="K15" s="196">
        <v>0.0</v>
      </c>
      <c r="L15" s="184">
        <f>'EPD data'!$J15</f>
        <v>4.0233</v>
      </c>
      <c r="M15" s="196">
        <v>0.0</v>
      </c>
      <c r="N15" s="184"/>
      <c r="O15" s="184">
        <f>'EPD data'!$J15</f>
        <v>4.0233</v>
      </c>
      <c r="P15" s="190">
        <f>IF('EPD data'!$H15&gt;0,'EPD data'!$K15/'EPD data'!$H15,'EPD data'!$K15/'EPD data'!$F15)</f>
        <v>0</v>
      </c>
      <c r="Q15" s="184">
        <f>'EPD data'!$O15</f>
        <v>4.0233</v>
      </c>
      <c r="R15" s="212">
        <f>'EPD data'!$M15</f>
        <v>0</v>
      </c>
      <c r="T15" s="78"/>
      <c r="U15" s="78"/>
      <c r="V15" s="78"/>
      <c r="W15" s="78"/>
      <c r="X15" s="78"/>
      <c r="AF15" s="193"/>
      <c r="AG15" s="193"/>
    </row>
    <row r="16">
      <c r="A16" s="184" t="s">
        <v>102</v>
      </c>
      <c r="B16" s="215" t="s">
        <v>103</v>
      </c>
      <c r="C16" s="206" t="s">
        <v>262</v>
      </c>
      <c r="D16" s="195" t="s">
        <v>246</v>
      </c>
      <c r="E16" s="184" t="s">
        <v>254</v>
      </c>
      <c r="F16" s="184" t="s">
        <v>263</v>
      </c>
      <c r="G16" s="184" t="s">
        <v>248</v>
      </c>
      <c r="H16" s="184"/>
      <c r="I16" s="184"/>
      <c r="J16" s="184">
        <f>1.36</f>
        <v>1.36</v>
      </c>
      <c r="K16" s="184">
        <f>0.0506</f>
        <v>0.0506</v>
      </c>
      <c r="L16" s="196">
        <f>J16+K16</f>
        <v>1.4106</v>
      </c>
      <c r="M16" s="196">
        <f t="shared" ref="M16:M17" si="9">X16</f>
        <v>0.441066</v>
      </c>
      <c r="N16" s="196"/>
      <c r="O16" s="197">
        <f>J16</f>
        <v>1.36</v>
      </c>
      <c r="P16" s="190">
        <f>'EPD data'!$K16</f>
        <v>0.0506</v>
      </c>
      <c r="Q16" s="197">
        <f>L16</f>
        <v>1.4106</v>
      </c>
      <c r="R16" s="212">
        <v>0.441066</v>
      </c>
      <c r="T16" s="191">
        <v>2.66E-4</v>
      </c>
      <c r="U16" s="191">
        <v>0.0118</v>
      </c>
      <c r="V16" s="191">
        <v>0.429</v>
      </c>
      <c r="W16" s="191"/>
      <c r="X16" s="191">
        <f t="shared" ref="X16:X17" si="10">SUM(T16:W16)</f>
        <v>0.441066</v>
      </c>
      <c r="AF16" s="193"/>
      <c r="AG16" s="193"/>
    </row>
    <row r="17">
      <c r="A17" s="184" t="s">
        <v>104</v>
      </c>
      <c r="B17" s="194" t="s">
        <v>106</v>
      </c>
      <c r="C17" s="216" t="s">
        <v>264</v>
      </c>
      <c r="D17" s="195" t="s">
        <v>256</v>
      </c>
      <c r="E17" s="184" t="s">
        <v>254</v>
      </c>
      <c r="F17" s="208">
        <v>1.0</v>
      </c>
      <c r="G17" s="209" t="s">
        <v>255</v>
      </c>
      <c r="H17" s="208">
        <v>1.0</v>
      </c>
      <c r="I17" s="208"/>
      <c r="J17" s="196">
        <v>3.1</v>
      </c>
      <c r="K17" s="196">
        <v>0.244</v>
      </c>
      <c r="L17" s="196">
        <f>SUM(J17:K17)</f>
        <v>3.344</v>
      </c>
      <c r="M17" s="196">
        <f t="shared" si="9"/>
        <v>3.03866</v>
      </c>
      <c r="N17" s="196"/>
      <c r="O17" s="197">
        <f>J17/H17</f>
        <v>3.1</v>
      </c>
      <c r="P17" s="190">
        <f>IF('EPD data'!$H17&gt;0,'EPD data'!$K17/'EPD data'!$H17,'EPD data'!$K17/'EPD data'!$F17)</f>
        <v>0.244</v>
      </c>
      <c r="Q17" s="197">
        <f>IFERROR(L17/H17,"-")</f>
        <v>3.344</v>
      </c>
      <c r="R17" s="197">
        <f>IFERROR(M17/H17,"-")</f>
        <v>3.03866</v>
      </c>
      <c r="T17" s="191">
        <v>0.0</v>
      </c>
      <c r="U17" s="191">
        <v>0.0167</v>
      </c>
      <c r="V17" s="191">
        <v>3.02</v>
      </c>
      <c r="W17" s="191">
        <v>0.00196</v>
      </c>
      <c r="X17" s="191">
        <f t="shared" si="10"/>
        <v>3.03866</v>
      </c>
      <c r="AF17" s="193"/>
      <c r="AG17" s="193"/>
    </row>
    <row r="18">
      <c r="A18" s="184"/>
      <c r="B18" s="217"/>
      <c r="C18" s="218"/>
      <c r="D18" s="218"/>
      <c r="E18" s="219"/>
      <c r="F18" s="219"/>
      <c r="G18" s="219"/>
      <c r="H18" s="219"/>
      <c r="I18" s="219"/>
      <c r="J18" s="220"/>
      <c r="K18" s="220"/>
      <c r="L18" s="220"/>
      <c r="M18" s="220"/>
      <c r="N18" s="220"/>
      <c r="O18" s="221"/>
      <c r="P18" s="190"/>
      <c r="Q18" s="221"/>
      <c r="R18" s="221"/>
      <c r="T18" s="191"/>
      <c r="U18" s="191"/>
      <c r="V18" s="191"/>
      <c r="W18" s="191"/>
      <c r="X18" s="191"/>
      <c r="AF18" s="193"/>
      <c r="AG18" s="193"/>
    </row>
    <row r="19">
      <c r="A19" s="184" t="s">
        <v>120</v>
      </c>
      <c r="B19" s="194" t="s">
        <v>120</v>
      </c>
      <c r="C19" s="222" t="s">
        <v>265</v>
      </c>
      <c r="D19" s="195" t="s">
        <v>246</v>
      </c>
      <c r="E19" s="184" t="s">
        <v>254</v>
      </c>
      <c r="F19" s="208">
        <v>1.0</v>
      </c>
      <c r="G19" s="209" t="s">
        <v>255</v>
      </c>
      <c r="H19" s="208">
        <v>1.0</v>
      </c>
      <c r="I19" s="208"/>
      <c r="J19" s="196">
        <f>3.3+0.173+0.0624</f>
        <v>3.5354</v>
      </c>
      <c r="K19" s="196">
        <f>0.0378</f>
        <v>0.0378</v>
      </c>
      <c r="L19" s="196">
        <f t="shared" ref="L19:L23" si="11">SUM(J19:K19)</f>
        <v>3.5732</v>
      </c>
      <c r="M19" s="212">
        <f t="shared" ref="M19:M21" si="12">X19</f>
        <v>0.01252</v>
      </c>
      <c r="N19" s="196"/>
      <c r="O19" s="197">
        <f t="shared" ref="O19:O26" si="13">J19/H19</f>
        <v>3.5354</v>
      </c>
      <c r="P19" s="190">
        <f>IF('EPD data'!$H19&gt;0,'EPD data'!$K19/'EPD data'!$H19,'EPD data'!$K19/'EPD data'!$F19)</f>
        <v>0.0378</v>
      </c>
      <c r="Q19" s="197">
        <f t="shared" ref="Q19:Q26" si="14">IFERROR(L19/H19,"-")</f>
        <v>3.5732</v>
      </c>
      <c r="R19" s="197">
        <f t="shared" ref="R19:R26" si="15">IFERROR(M19/H19,"-")</f>
        <v>0.01252</v>
      </c>
      <c r="T19" s="191">
        <v>0.0</v>
      </c>
      <c r="U19" s="191">
        <v>0.00242</v>
      </c>
      <c r="V19" s="191">
        <v>0.0</v>
      </c>
      <c r="W19" s="191">
        <v>0.0101</v>
      </c>
      <c r="X19" s="191">
        <f>U19+W19</f>
        <v>0.01252</v>
      </c>
      <c r="AF19" s="193"/>
      <c r="AG19" s="193"/>
    </row>
    <row r="20">
      <c r="A20" s="184" t="s">
        <v>122</v>
      </c>
      <c r="B20" s="194" t="s">
        <v>123</v>
      </c>
      <c r="C20" s="222" t="s">
        <v>266</v>
      </c>
      <c r="D20" s="195" t="s">
        <v>246</v>
      </c>
      <c r="E20" s="184" t="s">
        <v>254</v>
      </c>
      <c r="F20" s="208">
        <v>1.0</v>
      </c>
      <c r="G20" s="209" t="s">
        <v>255</v>
      </c>
      <c r="H20" s="208">
        <v>1.0</v>
      </c>
      <c r="I20" s="208"/>
      <c r="J20" s="196">
        <v>5.36</v>
      </c>
      <c r="K20" s="196">
        <v>0.0581</v>
      </c>
      <c r="L20" s="196">
        <f t="shared" si="11"/>
        <v>5.4181</v>
      </c>
      <c r="M20" s="196">
        <f t="shared" si="12"/>
        <v>0.441066</v>
      </c>
      <c r="N20" s="196"/>
      <c r="O20" s="197">
        <f t="shared" si="13"/>
        <v>5.36</v>
      </c>
      <c r="P20" s="190">
        <f>IF('EPD data'!$H20&gt;0,'EPD data'!$K20/'EPD data'!$H20,'EPD data'!$K20/'EPD data'!$F20)</f>
        <v>0.0581</v>
      </c>
      <c r="Q20" s="197">
        <f t="shared" si="14"/>
        <v>5.4181</v>
      </c>
      <c r="R20" s="197">
        <f t="shared" si="15"/>
        <v>0.441066</v>
      </c>
      <c r="T20" s="191">
        <v>2.66E-4</v>
      </c>
      <c r="U20" s="191">
        <v>0.0118</v>
      </c>
      <c r="V20" s="191">
        <v>0.429</v>
      </c>
      <c r="W20" s="191"/>
      <c r="X20" s="191">
        <f t="shared" ref="X20:X21" si="16">T20+U20+V20+W20</f>
        <v>0.441066</v>
      </c>
      <c r="AF20" s="193"/>
      <c r="AG20" s="193"/>
    </row>
    <row r="21" ht="15.75" customHeight="1">
      <c r="A21" s="184" t="s">
        <v>124</v>
      </c>
      <c r="B21" s="194" t="s">
        <v>125</v>
      </c>
      <c r="C21" s="222"/>
      <c r="D21" s="195" t="s">
        <v>267</v>
      </c>
      <c r="E21" s="184" t="s">
        <v>249</v>
      </c>
      <c r="F21" s="184">
        <v>17.97</v>
      </c>
      <c r="G21" s="184" t="s">
        <v>250</v>
      </c>
      <c r="H21" s="184">
        <v>17.97</v>
      </c>
      <c r="I21" s="184" t="s">
        <v>248</v>
      </c>
      <c r="J21" s="196">
        <v>9.43</v>
      </c>
      <c r="K21" s="196">
        <v>0.329</v>
      </c>
      <c r="L21" s="196">
        <f t="shared" si="11"/>
        <v>9.759</v>
      </c>
      <c r="M21" s="196">
        <f t="shared" si="12"/>
        <v>0.0846</v>
      </c>
      <c r="N21" s="196"/>
      <c r="O21" s="197">
        <f t="shared" si="13"/>
        <v>0.5247634947</v>
      </c>
      <c r="P21" s="190">
        <f>IF('EPD data'!$H21&gt;0,'EPD data'!$K21/'EPD data'!$H21,'EPD data'!$K21/'EPD data'!$F21)</f>
        <v>0.0183082916</v>
      </c>
      <c r="Q21" s="197">
        <f t="shared" si="14"/>
        <v>0.5430717863</v>
      </c>
      <c r="R21" s="197">
        <f t="shared" si="15"/>
        <v>0.004707846411</v>
      </c>
      <c r="T21" s="191">
        <v>0.001</v>
      </c>
      <c r="U21" s="191">
        <v>0.0218</v>
      </c>
      <c r="V21" s="191">
        <v>0.045</v>
      </c>
      <c r="W21" s="191">
        <v>0.0168</v>
      </c>
      <c r="X21" s="191">
        <f t="shared" si="16"/>
        <v>0.0846</v>
      </c>
      <c r="AF21" s="193"/>
      <c r="AG21" s="193"/>
    </row>
    <row r="22" ht="15.75" customHeight="1">
      <c r="A22" s="184" t="s">
        <v>126</v>
      </c>
      <c r="B22" s="194" t="s">
        <v>127</v>
      </c>
      <c r="C22" s="206" t="s">
        <v>268</v>
      </c>
      <c r="D22" s="195" t="s">
        <v>246</v>
      </c>
      <c r="E22" s="184" t="s">
        <v>254</v>
      </c>
      <c r="F22" s="208">
        <v>1.0</v>
      </c>
      <c r="G22" s="209" t="s">
        <v>255</v>
      </c>
      <c r="H22" s="208">
        <v>1.0</v>
      </c>
      <c r="I22" s="208"/>
      <c r="J22" s="196">
        <f>0.381+0.00674+0.00363</f>
        <v>0.39137</v>
      </c>
      <c r="K22" s="196">
        <f>0.0262</f>
        <v>0.0262</v>
      </c>
      <c r="L22" s="196">
        <f t="shared" si="11"/>
        <v>0.41757</v>
      </c>
      <c r="M22" s="196">
        <v>0.0</v>
      </c>
      <c r="N22" s="196"/>
      <c r="O22" s="197">
        <f t="shared" si="13"/>
        <v>0.39137</v>
      </c>
      <c r="P22" s="190">
        <f>IF('EPD data'!$H22&gt;0,'EPD data'!$K22/'EPD data'!$H22,'EPD data'!$K22/'EPD data'!$F22)</f>
        <v>0.0262</v>
      </c>
      <c r="Q22" s="197">
        <f t="shared" si="14"/>
        <v>0.41757</v>
      </c>
      <c r="R22" s="197">
        <f t="shared" si="15"/>
        <v>0</v>
      </c>
      <c r="T22" s="191"/>
      <c r="U22" s="191"/>
      <c r="V22" s="191"/>
      <c r="W22" s="191"/>
      <c r="X22" s="191"/>
      <c r="AF22" s="193"/>
      <c r="AG22" s="193"/>
    </row>
    <row r="23" ht="15.75" customHeight="1">
      <c r="A23" s="184" t="s">
        <v>128</v>
      </c>
      <c r="B23" s="194" t="s">
        <v>130</v>
      </c>
      <c r="C23" s="222"/>
      <c r="D23" s="195" t="s">
        <v>246</v>
      </c>
      <c r="E23" s="223" t="s">
        <v>269</v>
      </c>
      <c r="F23" s="184">
        <v>0.65</v>
      </c>
      <c r="G23" s="184" t="s">
        <v>270</v>
      </c>
      <c r="H23" s="184">
        <v>0.94</v>
      </c>
      <c r="I23" s="184" t="s">
        <v>270</v>
      </c>
      <c r="J23" s="224">
        <f>(0.477+0.0302+0.02)</f>
        <v>0.5272</v>
      </c>
      <c r="K23" s="224">
        <v>0.0691</v>
      </c>
      <c r="L23" s="224">
        <f t="shared" si="11"/>
        <v>0.5963</v>
      </c>
      <c r="M23" s="224">
        <f>X23</f>
        <v>1.665022</v>
      </c>
      <c r="N23" s="196"/>
      <c r="O23" s="197">
        <f t="shared" si="13"/>
        <v>0.5608510638</v>
      </c>
      <c r="P23" s="190">
        <f>IF('EPD data'!$H23&gt;0,'EPD data'!$K23/'EPD data'!$H23,'EPD data'!$K23/'EPD data'!$F23)</f>
        <v>0.0735106383</v>
      </c>
      <c r="Q23" s="197">
        <f t="shared" si="14"/>
        <v>0.6343617021</v>
      </c>
      <c r="R23" s="197">
        <f t="shared" si="15"/>
        <v>1.7713</v>
      </c>
      <c r="T23" s="191">
        <v>8.52E-4</v>
      </c>
      <c r="U23" s="191">
        <v>0.0131</v>
      </c>
      <c r="V23" s="191">
        <v>1.65</v>
      </c>
      <c r="W23" s="191">
        <v>0.00107</v>
      </c>
      <c r="X23" s="191">
        <f>T23+U23+V23+W23</f>
        <v>1.665022</v>
      </c>
      <c r="AF23" s="193"/>
      <c r="AG23" s="193"/>
    </row>
    <row r="24" ht="15.75" customHeight="1">
      <c r="A24" s="206" t="s">
        <v>131</v>
      </c>
      <c r="B24" s="194" t="s">
        <v>271</v>
      </c>
      <c r="C24" s="206" t="s">
        <v>272</v>
      </c>
      <c r="D24" s="184" t="s">
        <v>246</v>
      </c>
      <c r="E24" s="223" t="s">
        <v>269</v>
      </c>
      <c r="F24" s="184"/>
      <c r="G24" s="184"/>
      <c r="H24" s="184">
        <v>13.6</v>
      </c>
      <c r="I24" s="184" t="s">
        <v>270</v>
      </c>
      <c r="J24" s="225">
        <v>36.8</v>
      </c>
      <c r="K24" s="225">
        <v>1.24</v>
      </c>
      <c r="L24" s="225">
        <f>SUM('EPD data'!$J24:$K24)</f>
        <v>38.04</v>
      </c>
      <c r="M24" s="225">
        <f>'EPD data'!$X24</f>
        <v>11.06163</v>
      </c>
      <c r="N24" s="226"/>
      <c r="O24" s="197">
        <f t="shared" si="13"/>
        <v>2.705882353</v>
      </c>
      <c r="P24" s="190">
        <f>IF('EPD data'!$H24&gt;0,'EPD data'!$K24/'EPD data'!$H24,'EPD data'!$K24/'EPD data'!$F24)</f>
        <v>0.09117647059</v>
      </c>
      <c r="Q24" s="197">
        <f t="shared" si="14"/>
        <v>2.797058824</v>
      </c>
      <c r="R24" s="197">
        <f t="shared" si="15"/>
        <v>0.8133551471</v>
      </c>
      <c r="T24" s="191">
        <v>3.3E-11</v>
      </c>
      <c r="U24" s="191">
        <v>0.0594</v>
      </c>
      <c r="V24" s="191">
        <v>11.0</v>
      </c>
      <c r="W24" s="191">
        <v>0.00223</v>
      </c>
      <c r="X24" s="191">
        <f>SUM('EPD data'!$T24:$W24)</f>
        <v>11.06163</v>
      </c>
      <c r="AF24" s="193"/>
      <c r="AG24" s="193"/>
    </row>
    <row r="25" ht="15.75" customHeight="1">
      <c r="A25" s="227" t="s">
        <v>133</v>
      </c>
      <c r="B25" s="194" t="s">
        <v>135</v>
      </c>
      <c r="C25" s="222"/>
      <c r="D25" s="195" t="s">
        <v>256</v>
      </c>
      <c r="E25" s="223" t="s">
        <v>269</v>
      </c>
      <c r="F25" s="184">
        <v>32.27</v>
      </c>
      <c r="G25" s="184" t="s">
        <v>270</v>
      </c>
      <c r="H25" s="184">
        <v>32.27</v>
      </c>
      <c r="I25" s="184" t="s">
        <v>270</v>
      </c>
      <c r="J25" s="225">
        <f>64.6+9.82+2.68</f>
        <v>77.1</v>
      </c>
      <c r="K25" s="228">
        <v>0.0</v>
      </c>
      <c r="L25" s="228">
        <f>J25+K25</f>
        <v>77.1</v>
      </c>
      <c r="M25" s="228">
        <f>X25</f>
        <v>0.903</v>
      </c>
      <c r="N25" s="208"/>
      <c r="O25" s="197">
        <f t="shared" si="13"/>
        <v>2.38921599</v>
      </c>
      <c r="P25" s="190">
        <f>IF('EPD data'!$H25&gt;0,'EPD data'!$K25/'EPD data'!$H25,'EPD data'!$K25/'EPD data'!$F25)</f>
        <v>0</v>
      </c>
      <c r="Q25" s="197">
        <f t="shared" si="14"/>
        <v>2.38921599</v>
      </c>
      <c r="R25" s="197">
        <f t="shared" si="15"/>
        <v>0.02798264642</v>
      </c>
      <c r="T25" s="191">
        <v>0.0</v>
      </c>
      <c r="U25" s="191">
        <v>0.451</v>
      </c>
      <c r="V25" s="191">
        <v>0.0</v>
      </c>
      <c r="W25" s="191">
        <v>0.452</v>
      </c>
      <c r="X25" s="191">
        <f t="shared" ref="X25:X27" si="17">T25+U25+V25+W25</f>
        <v>0.903</v>
      </c>
      <c r="AF25" s="193"/>
      <c r="AG25" s="193"/>
    </row>
    <row r="26" ht="15.75" customHeight="1">
      <c r="A26" s="226" t="s">
        <v>137</v>
      </c>
      <c r="B26" s="194" t="s">
        <v>273</v>
      </c>
      <c r="C26" s="229" t="s">
        <v>274</v>
      </c>
      <c r="D26" s="184" t="s">
        <v>246</v>
      </c>
      <c r="E26" s="223" t="s">
        <v>269</v>
      </c>
      <c r="F26" s="184">
        <v>49.572</v>
      </c>
      <c r="G26" s="184" t="s">
        <v>270</v>
      </c>
      <c r="H26" s="184">
        <f>49.572+3.6982</f>
        <v>53.2702</v>
      </c>
      <c r="I26" s="184" t="s">
        <v>270</v>
      </c>
      <c r="J26" s="223">
        <v>246.0</v>
      </c>
      <c r="K26" s="223">
        <v>19.5</v>
      </c>
      <c r="L26" s="223">
        <f>SUM('EPD data'!$J26:$K26)</f>
        <v>265.5</v>
      </c>
      <c r="M26" s="225">
        <f>'EPD data'!$X26</f>
        <v>1.702</v>
      </c>
      <c r="N26" s="184"/>
      <c r="O26" s="197">
        <f t="shared" si="13"/>
        <v>4.617966518</v>
      </c>
      <c r="P26" s="190">
        <f>IF('EPD data'!$H26&gt;0,'EPD data'!$K26/'EPD data'!$H26,'EPD data'!$K26/'EPD data'!$F26)</f>
        <v>0.3660583215</v>
      </c>
      <c r="Q26" s="197">
        <f t="shared" si="14"/>
        <v>4.984024839</v>
      </c>
      <c r="R26" s="197">
        <f t="shared" si="15"/>
        <v>0.03195032119</v>
      </c>
      <c r="T26" s="191">
        <v>0.0</v>
      </c>
      <c r="U26" s="191">
        <v>0.242</v>
      </c>
      <c r="V26" s="191">
        <v>1.46</v>
      </c>
      <c r="W26" s="191">
        <v>0.0</v>
      </c>
      <c r="X26" s="191">
        <f t="shared" si="17"/>
        <v>1.702</v>
      </c>
      <c r="AF26" s="193"/>
      <c r="AG26" s="193"/>
    </row>
    <row r="27" ht="15.75" customHeight="1">
      <c r="A27" s="184" t="s">
        <v>139</v>
      </c>
      <c r="B27" s="194" t="s">
        <v>141</v>
      </c>
      <c r="C27" s="222"/>
      <c r="D27" s="195" t="s">
        <v>246</v>
      </c>
      <c r="E27" s="184" t="s">
        <v>254</v>
      </c>
      <c r="F27" s="208">
        <v>1.0</v>
      </c>
      <c r="G27" s="209" t="s">
        <v>255</v>
      </c>
      <c r="H27" s="208">
        <v>1.0</v>
      </c>
      <c r="I27" s="208"/>
      <c r="J27" s="196">
        <f>3.03+0.0405+0.11</f>
        <v>3.1805</v>
      </c>
      <c r="K27" s="208">
        <v>0.0</v>
      </c>
      <c r="L27" s="208">
        <f>J27+K27</f>
        <v>3.1805</v>
      </c>
      <c r="M27" s="208">
        <f t="shared" ref="M27:M28" si="18">X27</f>
        <v>0.0557</v>
      </c>
      <c r="N27" s="208"/>
      <c r="O27" s="196">
        <f>'EPD data'!$J27</f>
        <v>3.1805</v>
      </c>
      <c r="P27" s="190">
        <f>IF('EPD data'!$H27&gt;0,'EPD data'!$K27/'EPD data'!$H27,'EPD data'!$K27/'EPD data'!$F27)</f>
        <v>0</v>
      </c>
      <c r="Q27" s="196">
        <f>'EPD data'!$L27</f>
        <v>3.1805</v>
      </c>
      <c r="R27" s="212">
        <f>'EPD data'!$M27</f>
        <v>0.0557</v>
      </c>
      <c r="T27" s="191">
        <v>0.0</v>
      </c>
      <c r="U27" s="191">
        <v>0.0323</v>
      </c>
      <c r="V27" s="191">
        <v>0.0</v>
      </c>
      <c r="W27" s="191">
        <v>0.0234</v>
      </c>
      <c r="X27" s="191">
        <f t="shared" si="17"/>
        <v>0.0557</v>
      </c>
      <c r="AF27" s="193"/>
      <c r="AG27" s="193"/>
    </row>
    <row r="28" ht="15.75" customHeight="1">
      <c r="A28" s="184" t="s">
        <v>110</v>
      </c>
      <c r="B28" s="194" t="s">
        <v>112</v>
      </c>
      <c r="C28" s="222"/>
      <c r="D28" s="195" t="s">
        <v>246</v>
      </c>
      <c r="E28" s="184" t="s">
        <v>269</v>
      </c>
      <c r="F28" s="184">
        <v>1.24</v>
      </c>
      <c r="G28" s="184" t="s">
        <v>270</v>
      </c>
      <c r="H28" s="223">
        <v>1.37</v>
      </c>
      <c r="I28" s="184" t="s">
        <v>270</v>
      </c>
      <c r="J28" s="196">
        <f>19+1.76+0.661</f>
        <v>21.421</v>
      </c>
      <c r="K28" s="196">
        <f>0.402</f>
        <v>0.402</v>
      </c>
      <c r="L28" s="196">
        <f t="shared" ref="L28:L31" si="19">SUM(J28:K28)</f>
        <v>21.823</v>
      </c>
      <c r="M28" s="196">
        <f t="shared" si="18"/>
        <v>0.4476</v>
      </c>
      <c r="N28" s="196"/>
      <c r="O28" s="197">
        <f t="shared" ref="O28:O31" si="20">J28/H28</f>
        <v>15.63576642</v>
      </c>
      <c r="P28" s="190">
        <f>IF('EPD data'!$H28&gt;0,'EPD data'!$K28/'EPD data'!$H28,'EPD data'!$K28/'EPD data'!$F28)</f>
        <v>0.2934306569</v>
      </c>
      <c r="Q28" s="197">
        <f t="shared" ref="Q28:Q31" si="21">IFERROR(L28/H28,"-")</f>
        <v>15.92919708</v>
      </c>
      <c r="R28" s="197">
        <f t="shared" ref="R28:R31" si="22">M28/H28</f>
        <v>0.3267153285</v>
      </c>
      <c r="T28" s="183">
        <v>0.0</v>
      </c>
      <c r="U28" s="183">
        <v>0.0671</v>
      </c>
      <c r="V28" s="183">
        <v>0.356</v>
      </c>
      <c r="W28" s="183">
        <v>0.0245</v>
      </c>
      <c r="X28" s="230">
        <f>SUM(T28:W28)</f>
        <v>0.4476</v>
      </c>
      <c r="AF28" s="193"/>
      <c r="AG28" s="193"/>
    </row>
    <row r="29" ht="15.75" customHeight="1">
      <c r="A29" s="184" t="s">
        <v>114</v>
      </c>
      <c r="B29" s="194" t="s">
        <v>115</v>
      </c>
      <c r="C29" s="222"/>
      <c r="D29" s="195" t="s">
        <v>246</v>
      </c>
      <c r="E29" s="184" t="s">
        <v>269</v>
      </c>
      <c r="F29" s="184">
        <f>H29-(18.8/1000)</f>
        <v>0.1022</v>
      </c>
      <c r="G29" s="184" t="s">
        <v>270</v>
      </c>
      <c r="H29" s="223">
        <f>121/1000</f>
        <v>0.121</v>
      </c>
      <c r="I29" s="184" t="s">
        <v>270</v>
      </c>
      <c r="J29" s="196">
        <v>0.575</v>
      </c>
      <c r="K29" s="196">
        <v>0.0156</v>
      </c>
      <c r="L29" s="196">
        <f t="shared" si="19"/>
        <v>0.5906</v>
      </c>
      <c r="M29" s="196">
        <v>0.0213</v>
      </c>
      <c r="N29" s="196"/>
      <c r="O29" s="197">
        <f t="shared" si="20"/>
        <v>4.752066116</v>
      </c>
      <c r="P29" s="190">
        <f>IF('EPD data'!$H29&gt;0,'EPD data'!$K29/'EPD data'!$H29,'EPD data'!$K29/'EPD data'!$F29)</f>
        <v>0.1289256198</v>
      </c>
      <c r="Q29" s="197">
        <f t="shared" si="21"/>
        <v>4.880991736</v>
      </c>
      <c r="R29" s="197">
        <f t="shared" si="22"/>
        <v>0.1760330579</v>
      </c>
      <c r="X29" s="107">
        <v>0.0213</v>
      </c>
      <c r="AF29" s="193"/>
      <c r="AG29" s="193"/>
    </row>
    <row r="30" ht="15.75" customHeight="1">
      <c r="A30" s="184" t="s">
        <v>116</v>
      </c>
      <c r="B30" s="194" t="s">
        <v>117</v>
      </c>
      <c r="C30" s="222"/>
      <c r="D30" s="195" t="s">
        <v>246</v>
      </c>
      <c r="E30" s="184" t="s">
        <v>269</v>
      </c>
      <c r="F30" s="184">
        <f>H30-0.41</f>
        <v>1.98</v>
      </c>
      <c r="G30" s="184" t="s">
        <v>270</v>
      </c>
      <c r="H30" s="223">
        <v>2.39</v>
      </c>
      <c r="I30" s="184" t="s">
        <v>270</v>
      </c>
      <c r="J30" s="196">
        <v>5.62</v>
      </c>
      <c r="K30" s="196">
        <v>0.191</v>
      </c>
      <c r="L30" s="196">
        <f t="shared" si="19"/>
        <v>5.811</v>
      </c>
      <c r="M30" s="196">
        <f t="shared" ref="M30:M31" si="23">X30</f>
        <v>0.48955</v>
      </c>
      <c r="N30" s="196"/>
      <c r="O30" s="197">
        <f t="shared" si="20"/>
        <v>2.351464435</v>
      </c>
      <c r="P30" s="190">
        <f>IF('EPD data'!$H30&gt;0,'EPD data'!$K30/'EPD data'!$H30,'EPD data'!$K30/'EPD data'!$F30)</f>
        <v>0.07991631799</v>
      </c>
      <c r="Q30" s="197">
        <f t="shared" si="21"/>
        <v>2.431380753</v>
      </c>
      <c r="R30" s="197">
        <f t="shared" si="22"/>
        <v>0.204832636</v>
      </c>
      <c r="T30" s="107">
        <v>0.0</v>
      </c>
      <c r="U30" s="183">
        <v>0.0335</v>
      </c>
      <c r="V30" s="183">
        <v>0.451</v>
      </c>
      <c r="W30" s="183">
        <v>0.00505</v>
      </c>
      <c r="X30" s="107">
        <f t="shared" ref="X30:X31" si="24">SUM(T30:W30)</f>
        <v>0.48955</v>
      </c>
      <c r="AF30" s="193"/>
      <c r="AG30" s="193"/>
    </row>
    <row r="31" ht="15.75" customHeight="1">
      <c r="A31" s="184" t="s">
        <v>118</v>
      </c>
      <c r="B31" s="194" t="s">
        <v>119</v>
      </c>
      <c r="C31" s="222"/>
      <c r="D31" s="195" t="s">
        <v>256</v>
      </c>
      <c r="E31" s="184" t="s">
        <v>254</v>
      </c>
      <c r="F31" s="208">
        <v>1.0</v>
      </c>
      <c r="G31" s="209" t="s">
        <v>255</v>
      </c>
      <c r="H31" s="208">
        <v>1.0</v>
      </c>
      <c r="I31" s="209" t="s">
        <v>255</v>
      </c>
      <c r="J31" s="196">
        <f>3.48+0.0707+0.583</f>
        <v>4.1337</v>
      </c>
      <c r="K31" s="196">
        <v>0.243</v>
      </c>
      <c r="L31" s="196">
        <f t="shared" si="19"/>
        <v>4.3767</v>
      </c>
      <c r="M31" s="196">
        <f t="shared" si="23"/>
        <v>3.04062</v>
      </c>
      <c r="N31" s="196"/>
      <c r="O31" s="197">
        <f t="shared" si="20"/>
        <v>4.1337</v>
      </c>
      <c r="P31" s="190">
        <f>IF('EPD data'!$H31&gt;0,'EPD data'!$K31/'EPD data'!$H31,'EPD data'!$K31/'EPD data'!$F31)</f>
        <v>0.243</v>
      </c>
      <c r="Q31" s="197">
        <f t="shared" si="21"/>
        <v>4.3767</v>
      </c>
      <c r="R31" s="197">
        <f t="shared" si="22"/>
        <v>3.04062</v>
      </c>
      <c r="T31" s="183">
        <v>0.0167</v>
      </c>
      <c r="U31" s="183">
        <v>3.02</v>
      </c>
      <c r="V31" s="183">
        <v>0.00196</v>
      </c>
      <c r="W31" s="183">
        <v>0.00196</v>
      </c>
      <c r="X31" s="230">
        <f t="shared" si="24"/>
        <v>3.04062</v>
      </c>
      <c r="AF31" s="193"/>
      <c r="AG31" s="193"/>
    </row>
    <row r="32" ht="15.75" customHeight="1"/>
    <row r="33" ht="15.75" customHeight="1"/>
    <row r="34" ht="15.75" customHeight="1">
      <c r="H34" s="107">
        <f>H28*4</f>
        <v>5.48</v>
      </c>
      <c r="P34" s="107">
        <f>K28/H28</f>
        <v>0.2934306569</v>
      </c>
    </row>
    <row r="35" ht="15.75" customHeight="1">
      <c r="P35" s="107">
        <f>K24/H24</f>
        <v>0.09117647059</v>
      </c>
    </row>
    <row r="36" ht="15.75" customHeight="1">
      <c r="P36" s="107">
        <f>K4/H4</f>
        <v>0.0247535629</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S2:W2"/>
    <mergeCell ref="Z12:AD12"/>
  </mergeCells>
  <conditionalFormatting sqref="J4:R31">
    <cfRule type="cellIs" dxfId="4" priority="1" operator="equal">
      <formula>0</formula>
    </cfRule>
  </conditionalFormatting>
  <hyperlinks>
    <hyperlink r:id="rId2" ref="B4"/>
    <hyperlink r:id="rId3" ref="B5"/>
    <hyperlink r:id="rId4" ref="B6"/>
    <hyperlink r:id="rId5" ref="B7"/>
    <hyperlink r:id="rId6" ref="B8"/>
    <hyperlink r:id="rId7" ref="B9"/>
    <hyperlink r:id="rId8" ref="B10"/>
    <hyperlink r:id="rId9" ref="B11"/>
    <hyperlink r:id="rId10" ref="B12"/>
    <hyperlink r:id="rId11" ref="B13"/>
    <hyperlink r:id="rId12" ref="B14"/>
    <hyperlink r:id="rId13" ref="B17"/>
    <hyperlink r:id="rId14" ref="B19"/>
    <hyperlink r:id="rId15" ref="B20"/>
    <hyperlink r:id="rId16" ref="B21"/>
    <hyperlink r:id="rId17" ref="B22"/>
    <hyperlink r:id="rId18" ref="B23"/>
    <hyperlink r:id="rId19" ref="B24"/>
    <hyperlink r:id="rId20" ref="B25"/>
    <hyperlink r:id="rId21" ref="B26"/>
    <hyperlink r:id="rId22" ref="B27"/>
    <hyperlink r:id="rId23" ref="B28"/>
    <hyperlink r:id="rId24" ref="B29"/>
    <hyperlink r:id="rId25" ref="B30"/>
    <hyperlink r:id="rId26" ref="B31"/>
  </hyperlinks>
  <printOptions/>
  <pageMargins bottom="0.75" footer="0.0" header="0.0" left="0.7" right="0.7" top="0.75"/>
  <pageSetup orientation="landscape"/>
  <drawing r:id="rId27"/>
  <legacyDrawing r:id="rId28"/>
  <tableParts count="2">
    <tablePart r:id="rId31"/>
    <tablePart r:id="rId32"/>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5E9ED"/>
    <pageSetUpPr/>
  </sheetPr>
  <sheetViews>
    <sheetView workbookViewId="0"/>
  </sheetViews>
  <sheetFormatPr customHeight="1" defaultColWidth="14.43" defaultRowHeight="15.0"/>
  <cols>
    <col customWidth="1" min="1" max="1" width="24.14"/>
    <col customWidth="1" min="2" max="2" width="43.14"/>
    <col customWidth="1" min="3" max="3" width="15.14"/>
    <col customWidth="1" min="4" max="4" width="17.0"/>
    <col customWidth="1" min="5" max="5" width="14.0"/>
    <col customWidth="1" min="6" max="6" width="17.0"/>
    <col customWidth="1" min="7" max="7" width="16.86"/>
    <col customWidth="1" hidden="1" min="8" max="8" width="10.0"/>
    <col customWidth="1" min="9" max="9" width="16.86"/>
    <col customWidth="1" min="10" max="12" width="9.29"/>
    <col customWidth="1" min="13" max="15" width="9.14"/>
    <col customWidth="1" min="16" max="16" width="9.29"/>
    <col customWidth="1" min="17" max="17" width="9.14"/>
    <col customWidth="1" min="18" max="18" width="9.29"/>
    <col customWidth="1" min="19" max="26" width="9.14"/>
  </cols>
  <sheetData>
    <row r="1">
      <c r="D1" s="36"/>
      <c r="E1" s="36"/>
      <c r="F1" s="36"/>
      <c r="G1" s="36"/>
      <c r="H1" s="36"/>
      <c r="I1" s="36"/>
    </row>
    <row r="2">
      <c r="J2" s="176"/>
    </row>
    <row r="3">
      <c r="A3" s="231" t="s">
        <v>48</v>
      </c>
      <c r="B3" s="178" t="s">
        <v>223</v>
      </c>
      <c r="C3" s="178" t="s">
        <v>275</v>
      </c>
      <c r="D3" s="178" t="s">
        <v>276</v>
      </c>
      <c r="E3" s="178" t="s">
        <v>277</v>
      </c>
      <c r="F3" s="180" t="s">
        <v>231</v>
      </c>
      <c r="G3" s="179" t="s">
        <v>232</v>
      </c>
      <c r="H3" s="180" t="s">
        <v>233</v>
      </c>
      <c r="I3" s="180" t="s">
        <v>234</v>
      </c>
      <c r="K3" s="182" t="s">
        <v>240</v>
      </c>
      <c r="L3" s="182" t="s">
        <v>241</v>
      </c>
      <c r="M3" s="182" t="s">
        <v>242</v>
      </c>
      <c r="N3" s="182" t="s">
        <v>243</v>
      </c>
      <c r="O3" s="182" t="s">
        <v>244</v>
      </c>
      <c r="Q3" s="183"/>
    </row>
    <row r="4">
      <c r="A4" s="232" t="s">
        <v>69</v>
      </c>
      <c r="B4" s="185" t="s">
        <v>72</v>
      </c>
      <c r="C4" s="233" t="s">
        <v>246</v>
      </c>
      <c r="D4" s="233" t="s">
        <v>246</v>
      </c>
      <c r="E4" s="233" t="s">
        <v>246</v>
      </c>
      <c r="F4" s="189">
        <v>201.0</v>
      </c>
      <c r="G4" s="189">
        <v>16.9</v>
      </c>
      <c r="H4" s="189">
        <f t="shared" ref="H4:H14" si="1">SUM(F4:G4)</f>
        <v>217.9</v>
      </c>
      <c r="I4" s="189">
        <f>0.00838+7.4+116+0.0627</f>
        <v>123.47108</v>
      </c>
      <c r="K4" s="191">
        <v>0.00838</v>
      </c>
      <c r="L4" s="192">
        <v>7.4</v>
      </c>
      <c r="M4" s="192">
        <v>116.0</v>
      </c>
      <c r="N4" s="192">
        <v>0.0627</v>
      </c>
      <c r="O4" s="191">
        <f t="shared" ref="O4:O8" si="2">SUM(K4:N4)</f>
        <v>123.47108</v>
      </c>
      <c r="Q4" s="128"/>
    </row>
    <row r="5">
      <c r="A5" s="232" t="s">
        <v>74</v>
      </c>
      <c r="B5" s="194" t="s">
        <v>75</v>
      </c>
      <c r="C5" s="233" t="s">
        <v>246</v>
      </c>
      <c r="D5" s="233" t="s">
        <v>246</v>
      </c>
      <c r="E5" s="233" t="s">
        <v>246</v>
      </c>
      <c r="F5" s="196">
        <v>48.1</v>
      </c>
      <c r="G5" s="196">
        <v>4.42</v>
      </c>
      <c r="H5" s="196">
        <f t="shared" si="1"/>
        <v>52.52</v>
      </c>
      <c r="I5" s="196">
        <f t="shared" ref="I5:I8" si="3">O5</f>
        <v>13.28881</v>
      </c>
      <c r="K5" s="191">
        <v>0.00881</v>
      </c>
      <c r="L5" s="191">
        <v>6.7</v>
      </c>
      <c r="M5" s="191">
        <v>4.63</v>
      </c>
      <c r="N5" s="191">
        <v>1.95</v>
      </c>
      <c r="O5" s="191">
        <f t="shared" si="2"/>
        <v>13.28881</v>
      </c>
    </row>
    <row r="6">
      <c r="A6" s="232" t="s">
        <v>76</v>
      </c>
      <c r="B6" s="199" t="s">
        <v>76</v>
      </c>
      <c r="C6" s="233" t="s">
        <v>246</v>
      </c>
      <c r="D6" s="233" t="s">
        <v>246</v>
      </c>
      <c r="E6" s="233" t="s">
        <v>246</v>
      </c>
      <c r="F6" s="202">
        <v>1.0</v>
      </c>
      <c r="G6" s="203">
        <v>0.0695</v>
      </c>
      <c r="H6" s="202">
        <f t="shared" si="1"/>
        <v>1.0695</v>
      </c>
      <c r="I6" s="202">
        <f t="shared" si="3"/>
        <v>0.139473</v>
      </c>
      <c r="K6" s="191">
        <v>8.9E-5</v>
      </c>
      <c r="L6" s="191">
        <v>0.077</v>
      </c>
      <c r="M6" s="191">
        <v>9.84E-4</v>
      </c>
      <c r="N6" s="191">
        <v>0.0614</v>
      </c>
      <c r="O6" s="191">
        <f t="shared" si="2"/>
        <v>0.139473</v>
      </c>
    </row>
    <row r="7">
      <c r="A7" s="232" t="s">
        <v>77</v>
      </c>
      <c r="B7" s="194" t="s">
        <v>79</v>
      </c>
      <c r="C7" s="233" t="s">
        <v>246</v>
      </c>
      <c r="D7" s="233" t="s">
        <v>246</v>
      </c>
      <c r="E7" s="233" t="s">
        <v>246</v>
      </c>
      <c r="F7" s="196">
        <v>13.2</v>
      </c>
      <c r="G7" s="207">
        <v>0.0856</v>
      </c>
      <c r="H7" s="196">
        <f t="shared" si="1"/>
        <v>13.2856</v>
      </c>
      <c r="I7" s="196">
        <f t="shared" si="3"/>
        <v>4.07534</v>
      </c>
      <c r="K7" s="191">
        <v>0.0</v>
      </c>
      <c r="L7" s="191">
        <v>0.0242</v>
      </c>
      <c r="M7" s="191">
        <v>4.05</v>
      </c>
      <c r="N7" s="191">
        <v>0.00114</v>
      </c>
      <c r="O7" s="191">
        <f t="shared" si="2"/>
        <v>4.07534</v>
      </c>
    </row>
    <row r="8">
      <c r="A8" s="232" t="s">
        <v>80</v>
      </c>
      <c r="B8" s="194" t="s">
        <v>82</v>
      </c>
      <c r="C8" s="233" t="s">
        <v>246</v>
      </c>
      <c r="D8" s="233" t="s">
        <v>246</v>
      </c>
      <c r="E8" s="233" t="s">
        <v>246</v>
      </c>
      <c r="F8" s="196">
        <v>2.82</v>
      </c>
      <c r="G8" s="196">
        <v>0.103</v>
      </c>
      <c r="H8" s="196">
        <f t="shared" si="1"/>
        <v>2.923</v>
      </c>
      <c r="I8" s="196">
        <f t="shared" si="3"/>
        <v>0.0508</v>
      </c>
      <c r="K8" s="191">
        <v>0.0</v>
      </c>
      <c r="L8" s="191">
        <v>0.0101</v>
      </c>
      <c r="M8" s="191">
        <v>0.0</v>
      </c>
      <c r="N8" s="191">
        <v>0.0407</v>
      </c>
      <c r="O8" s="191">
        <f t="shared" si="2"/>
        <v>0.0508</v>
      </c>
    </row>
    <row r="9">
      <c r="A9" s="232" t="s">
        <v>83</v>
      </c>
      <c r="B9" s="194" t="s">
        <v>85</v>
      </c>
      <c r="C9" s="233" t="s">
        <v>246</v>
      </c>
      <c r="D9" s="234" t="s">
        <v>256</v>
      </c>
      <c r="E9" s="234" t="s">
        <v>256</v>
      </c>
      <c r="F9" s="196">
        <f>2.49+0.0768+0.096</f>
        <v>2.6628</v>
      </c>
      <c r="G9" s="208">
        <v>0.0</v>
      </c>
      <c r="H9" s="196">
        <f t="shared" si="1"/>
        <v>2.6628</v>
      </c>
      <c r="I9" s="210">
        <v>0.0</v>
      </c>
      <c r="K9" s="191"/>
      <c r="L9" s="191"/>
      <c r="M9" s="191"/>
      <c r="N9" s="191"/>
      <c r="O9" s="191"/>
    </row>
    <row r="10">
      <c r="A10" s="232" t="s">
        <v>86</v>
      </c>
      <c r="B10" s="194" t="s">
        <v>88</v>
      </c>
      <c r="C10" s="233" t="s">
        <v>246</v>
      </c>
      <c r="D10" s="234" t="s">
        <v>256</v>
      </c>
      <c r="E10" s="234" t="s">
        <v>256</v>
      </c>
      <c r="F10" s="196">
        <v>0.171</v>
      </c>
      <c r="G10" s="208">
        <v>0.0</v>
      </c>
      <c r="H10" s="196">
        <f t="shared" si="1"/>
        <v>0.171</v>
      </c>
      <c r="I10" s="210">
        <v>0.0</v>
      </c>
      <c r="K10" s="191"/>
      <c r="L10" s="191"/>
      <c r="M10" s="191"/>
      <c r="N10" s="191"/>
      <c r="O10" s="191"/>
    </row>
    <row r="11">
      <c r="A11" s="232"/>
      <c r="B11" s="194" t="s">
        <v>257</v>
      </c>
      <c r="C11" s="233" t="s">
        <v>246</v>
      </c>
      <c r="D11" s="234" t="s">
        <v>256</v>
      </c>
      <c r="E11" s="234" t="s">
        <v>256</v>
      </c>
      <c r="F11" s="196">
        <v>0.213</v>
      </c>
      <c r="G11" s="208">
        <v>0.0</v>
      </c>
      <c r="H11" s="196">
        <f t="shared" si="1"/>
        <v>0.213</v>
      </c>
      <c r="I11" s="210">
        <v>0.0</v>
      </c>
      <c r="K11" s="191"/>
      <c r="L11" s="191"/>
      <c r="M11" s="191"/>
      <c r="N11" s="191"/>
      <c r="O11" s="191"/>
    </row>
    <row r="12">
      <c r="A12" s="232" t="s">
        <v>89</v>
      </c>
      <c r="B12" s="194" t="s">
        <v>91</v>
      </c>
      <c r="C12" s="233" t="s">
        <v>246</v>
      </c>
      <c r="D12" s="234" t="s">
        <v>246</v>
      </c>
      <c r="E12" s="234" t="s">
        <v>246</v>
      </c>
      <c r="F12" s="212">
        <v>0.393</v>
      </c>
      <c r="G12" s="212">
        <v>0.0102</v>
      </c>
      <c r="H12" s="196">
        <f t="shared" si="1"/>
        <v>0.4032</v>
      </c>
      <c r="I12" s="196">
        <f t="shared" ref="I12:I14" si="4">O12</f>
        <v>0.067994</v>
      </c>
      <c r="K12" s="191">
        <v>0.0567</v>
      </c>
      <c r="L12" s="191">
        <v>0.0102</v>
      </c>
      <c r="M12" s="191">
        <v>9.9E-4</v>
      </c>
      <c r="N12" s="191">
        <v>1.04E-4</v>
      </c>
      <c r="O12" s="191">
        <f t="shared" ref="O12:O14" si="5">SUM(K12:N12)</f>
        <v>0.067994</v>
      </c>
      <c r="Q12" s="176" t="s">
        <v>258</v>
      </c>
    </row>
    <row r="13">
      <c r="A13" s="232" t="s">
        <v>92</v>
      </c>
      <c r="B13" s="194" t="s">
        <v>94</v>
      </c>
      <c r="C13" s="233" t="s">
        <v>246</v>
      </c>
      <c r="D13" s="234" t="s">
        <v>246</v>
      </c>
      <c r="E13" s="234" t="s">
        <v>246</v>
      </c>
      <c r="F13" s="196">
        <v>16.2</v>
      </c>
      <c r="G13" s="196">
        <v>0.226</v>
      </c>
      <c r="H13" s="196">
        <f t="shared" si="1"/>
        <v>16.426</v>
      </c>
      <c r="I13" s="196">
        <f t="shared" si="4"/>
        <v>3.08534</v>
      </c>
      <c r="K13" s="191">
        <v>0.0</v>
      </c>
      <c r="L13" s="191">
        <v>0.0</v>
      </c>
      <c r="M13" s="191">
        <v>3.08</v>
      </c>
      <c r="N13" s="191">
        <v>0.00534</v>
      </c>
      <c r="O13" s="191">
        <f t="shared" si="5"/>
        <v>3.08534</v>
      </c>
      <c r="Q13" s="182" t="s">
        <v>240</v>
      </c>
      <c r="R13" s="182" t="s">
        <v>241</v>
      </c>
      <c r="S13" s="182" t="s">
        <v>242</v>
      </c>
      <c r="T13" s="182" t="s">
        <v>243</v>
      </c>
      <c r="U13" s="182" t="s">
        <v>244</v>
      </c>
    </row>
    <row r="14">
      <c r="A14" s="232" t="s">
        <v>95</v>
      </c>
      <c r="B14" s="194" t="s">
        <v>97</v>
      </c>
      <c r="C14" s="233" t="s">
        <v>246</v>
      </c>
      <c r="D14" s="234" t="s">
        <v>246</v>
      </c>
      <c r="E14" s="234" t="s">
        <v>246</v>
      </c>
      <c r="F14" s="196">
        <v>1.59</v>
      </c>
      <c r="G14" s="196">
        <v>0.262</v>
      </c>
      <c r="H14" s="196">
        <f t="shared" si="1"/>
        <v>1.852</v>
      </c>
      <c r="I14" s="196">
        <f t="shared" si="4"/>
        <v>0.9033407</v>
      </c>
      <c r="K14" s="191">
        <v>1.07E-5</v>
      </c>
      <c r="L14" s="191">
        <v>0.344</v>
      </c>
      <c r="M14" s="191">
        <v>0.552</v>
      </c>
      <c r="N14" s="191">
        <v>0.00733</v>
      </c>
      <c r="O14" s="191">
        <f t="shared" si="5"/>
        <v>0.9033407</v>
      </c>
      <c r="Q14" s="214">
        <v>1.07E-5</v>
      </c>
      <c r="R14" s="214">
        <v>0.0573</v>
      </c>
      <c r="S14" s="214">
        <v>0.0354</v>
      </c>
      <c r="T14" s="214">
        <v>1.02</v>
      </c>
      <c r="U14" s="214">
        <f>SUM(Q14:T14)</f>
        <v>1.1127107</v>
      </c>
    </row>
    <row r="15" ht="14.25" customHeight="1">
      <c r="A15" s="232" t="s">
        <v>98</v>
      </c>
      <c r="B15" s="215" t="s">
        <v>100</v>
      </c>
      <c r="C15" s="233" t="s">
        <v>246</v>
      </c>
      <c r="D15" s="235" t="s">
        <v>256</v>
      </c>
      <c r="E15" s="235" t="s">
        <v>256</v>
      </c>
      <c r="F15" s="184">
        <v>4.0233</v>
      </c>
      <c r="G15" s="196">
        <v>0.0</v>
      </c>
      <c r="H15" s="184">
        <f>'EPD overview'!$F15</f>
        <v>4.0233</v>
      </c>
      <c r="I15" s="196">
        <v>0.0</v>
      </c>
      <c r="K15" s="78"/>
      <c r="L15" s="78"/>
      <c r="M15" s="78"/>
      <c r="N15" s="78"/>
      <c r="O15" s="78"/>
    </row>
    <row r="16">
      <c r="A16" s="232" t="s">
        <v>102</v>
      </c>
      <c r="B16" s="215" t="s">
        <v>103</v>
      </c>
      <c r="C16" s="233" t="s">
        <v>246</v>
      </c>
      <c r="D16" s="234" t="s">
        <v>246</v>
      </c>
      <c r="E16" s="234" t="s">
        <v>246</v>
      </c>
      <c r="F16" s="184">
        <f>1.36</f>
        <v>1.36</v>
      </c>
      <c r="G16" s="184">
        <f>0.0506</f>
        <v>0.0506</v>
      </c>
      <c r="H16" s="196">
        <f>F16+G16</f>
        <v>1.4106</v>
      </c>
      <c r="I16" s="196">
        <f t="shared" ref="I16:I17" si="6">O16</f>
        <v>0.441066</v>
      </c>
      <c r="K16" s="191">
        <v>2.66E-4</v>
      </c>
      <c r="L16" s="191">
        <v>0.0118</v>
      </c>
      <c r="M16" s="191">
        <v>0.429</v>
      </c>
      <c r="N16" s="191"/>
      <c r="O16" s="191">
        <f t="shared" ref="O16:O17" si="7">SUM(K16:N16)</f>
        <v>0.441066</v>
      </c>
    </row>
    <row r="17">
      <c r="A17" s="232" t="s">
        <v>104</v>
      </c>
      <c r="B17" s="194" t="s">
        <v>106</v>
      </c>
      <c r="C17" s="233" t="s">
        <v>246</v>
      </c>
      <c r="D17" s="234" t="s">
        <v>246</v>
      </c>
      <c r="E17" s="234" t="s">
        <v>246</v>
      </c>
      <c r="F17" s="196">
        <v>3.1</v>
      </c>
      <c r="G17" s="196">
        <v>0.244</v>
      </c>
      <c r="H17" s="196">
        <f>SUM(F17:G17)</f>
        <v>3.344</v>
      </c>
      <c r="I17" s="196">
        <f t="shared" si="6"/>
        <v>3.03866</v>
      </c>
      <c r="K17" s="191">
        <v>0.0</v>
      </c>
      <c r="L17" s="191">
        <v>0.0167</v>
      </c>
      <c r="M17" s="191">
        <v>3.02</v>
      </c>
      <c r="N17" s="191">
        <v>0.00196</v>
      </c>
      <c r="O17" s="191">
        <f t="shared" si="7"/>
        <v>3.03866</v>
      </c>
    </row>
    <row r="18">
      <c r="A18" s="232"/>
      <c r="B18" s="217"/>
      <c r="C18" s="233" t="s">
        <v>246</v>
      </c>
      <c r="D18" s="234" t="s">
        <v>246</v>
      </c>
      <c r="E18" s="234" t="s">
        <v>246</v>
      </c>
      <c r="F18" s="220"/>
      <c r="G18" s="220"/>
      <c r="H18" s="220"/>
      <c r="I18" s="220"/>
      <c r="K18" s="191"/>
      <c r="L18" s="191"/>
      <c r="M18" s="191"/>
      <c r="N18" s="191"/>
      <c r="O18" s="191"/>
    </row>
    <row r="19">
      <c r="A19" s="232" t="s">
        <v>120</v>
      </c>
      <c r="B19" s="194" t="s">
        <v>120</v>
      </c>
      <c r="C19" s="233" t="s">
        <v>246</v>
      </c>
      <c r="D19" s="234" t="s">
        <v>246</v>
      </c>
      <c r="E19" s="234" t="s">
        <v>246</v>
      </c>
      <c r="F19" s="196">
        <f>3.3+0.173+0.0624</f>
        <v>3.5354</v>
      </c>
      <c r="G19" s="196">
        <f>0.0378</f>
        <v>0.0378</v>
      </c>
      <c r="H19" s="196">
        <f t="shared" ref="H19:H23" si="8">SUM(F19:G19)</f>
        <v>3.5732</v>
      </c>
      <c r="I19" s="212">
        <f t="shared" ref="I19:I21" si="9">O19</f>
        <v>0.01252</v>
      </c>
      <c r="K19" s="191">
        <v>0.0</v>
      </c>
      <c r="L19" s="191">
        <v>0.00242</v>
      </c>
      <c r="M19" s="191">
        <v>0.0</v>
      </c>
      <c r="N19" s="191">
        <v>0.0101</v>
      </c>
      <c r="O19" s="191">
        <f>L19+N19</f>
        <v>0.01252</v>
      </c>
    </row>
    <row r="20">
      <c r="A20" s="232" t="s">
        <v>122</v>
      </c>
      <c r="B20" s="194" t="s">
        <v>123</v>
      </c>
      <c r="C20" s="233" t="s">
        <v>246</v>
      </c>
      <c r="D20" s="234" t="s">
        <v>246</v>
      </c>
      <c r="E20" s="234" t="s">
        <v>246</v>
      </c>
      <c r="F20" s="196">
        <v>5.36</v>
      </c>
      <c r="G20" s="196">
        <v>0.0581</v>
      </c>
      <c r="H20" s="196">
        <f t="shared" si="8"/>
        <v>5.4181</v>
      </c>
      <c r="I20" s="196">
        <f t="shared" si="9"/>
        <v>0.441066</v>
      </c>
      <c r="K20" s="191">
        <v>2.66E-4</v>
      </c>
      <c r="L20" s="191">
        <v>0.0118</v>
      </c>
      <c r="M20" s="191">
        <v>0.429</v>
      </c>
      <c r="N20" s="191"/>
      <c r="O20" s="191">
        <f t="shared" ref="O20:O21" si="10">K20+L20+M20+N20</f>
        <v>0.441066</v>
      </c>
    </row>
    <row r="21" ht="15.75" customHeight="1">
      <c r="A21" s="232" t="s">
        <v>124</v>
      </c>
      <c r="B21" s="194" t="s">
        <v>125</v>
      </c>
      <c r="C21" s="233" t="s">
        <v>246</v>
      </c>
      <c r="D21" s="234" t="s">
        <v>246</v>
      </c>
      <c r="E21" s="234" t="s">
        <v>246</v>
      </c>
      <c r="F21" s="196">
        <v>9.43</v>
      </c>
      <c r="G21" s="196">
        <v>0.329</v>
      </c>
      <c r="H21" s="196">
        <f t="shared" si="8"/>
        <v>9.759</v>
      </c>
      <c r="I21" s="196">
        <f t="shared" si="9"/>
        <v>0.0846</v>
      </c>
      <c r="K21" s="191">
        <v>0.001</v>
      </c>
      <c r="L21" s="191">
        <v>0.0218</v>
      </c>
      <c r="M21" s="191">
        <v>0.045</v>
      </c>
      <c r="N21" s="191">
        <v>0.0168</v>
      </c>
      <c r="O21" s="191">
        <f t="shared" si="10"/>
        <v>0.0846</v>
      </c>
    </row>
    <row r="22" ht="15.75" customHeight="1">
      <c r="A22" s="232" t="s">
        <v>126</v>
      </c>
      <c r="B22" s="194" t="s">
        <v>127</v>
      </c>
      <c r="C22" s="233" t="s">
        <v>246</v>
      </c>
      <c r="D22" s="235" t="s">
        <v>246</v>
      </c>
      <c r="E22" s="235" t="s">
        <v>256</v>
      </c>
      <c r="F22" s="196">
        <f>0.381+0.00674+0.00363</f>
        <v>0.39137</v>
      </c>
      <c r="G22" s="196">
        <f>0.0262</f>
        <v>0.0262</v>
      </c>
      <c r="H22" s="196">
        <f t="shared" si="8"/>
        <v>0.41757</v>
      </c>
      <c r="I22" s="196">
        <v>0.0</v>
      </c>
      <c r="K22" s="191"/>
      <c r="L22" s="191"/>
      <c r="M22" s="191"/>
      <c r="N22" s="191"/>
      <c r="O22" s="191"/>
    </row>
    <row r="23" ht="15.75" customHeight="1">
      <c r="A23" s="232" t="s">
        <v>128</v>
      </c>
      <c r="B23" s="194" t="s">
        <v>130</v>
      </c>
      <c r="C23" s="233" t="s">
        <v>246</v>
      </c>
      <c r="D23" s="235" t="s">
        <v>246</v>
      </c>
      <c r="E23" s="235" t="s">
        <v>246</v>
      </c>
      <c r="F23" s="225">
        <f>(0.477+0.0302+0.02)</f>
        <v>0.5272</v>
      </c>
      <c r="G23" s="225">
        <v>0.0691</v>
      </c>
      <c r="H23" s="225">
        <f t="shared" si="8"/>
        <v>0.5963</v>
      </c>
      <c r="I23" s="225">
        <f>O23</f>
        <v>1.665022</v>
      </c>
      <c r="K23" s="191">
        <v>8.52E-4</v>
      </c>
      <c r="L23" s="191">
        <v>0.0131</v>
      </c>
      <c r="M23" s="191">
        <v>1.65</v>
      </c>
      <c r="N23" s="191">
        <v>0.00107</v>
      </c>
      <c r="O23" s="191">
        <f>K23+L23+M23+N23</f>
        <v>1.665022</v>
      </c>
    </row>
    <row r="24" ht="15.75" customHeight="1">
      <c r="A24" s="232" t="s">
        <v>131</v>
      </c>
      <c r="B24" s="194" t="s">
        <v>271</v>
      </c>
      <c r="C24" s="233" t="s">
        <v>246</v>
      </c>
      <c r="D24" s="235" t="s">
        <v>246</v>
      </c>
      <c r="E24" s="235" t="s">
        <v>246</v>
      </c>
      <c r="F24" s="225">
        <v>36.8</v>
      </c>
      <c r="G24" s="225">
        <v>1.24</v>
      </c>
      <c r="H24" s="225">
        <f>SUM('EPD overview'!$F24:$G24)</f>
        <v>38.04</v>
      </c>
      <c r="I24" s="225">
        <f>'EPD overview'!$O24</f>
        <v>11.06163</v>
      </c>
      <c r="K24" s="191">
        <v>3.3E-11</v>
      </c>
      <c r="L24" s="191">
        <v>0.0594</v>
      </c>
      <c r="M24" s="191">
        <v>11.0</v>
      </c>
      <c r="N24" s="191">
        <v>0.00223</v>
      </c>
      <c r="O24" s="191">
        <f>SUM('EPD overview'!$K24:$N24)</f>
        <v>11.06163</v>
      </c>
    </row>
    <row r="25" ht="15.75" customHeight="1">
      <c r="A25" s="232" t="s">
        <v>133</v>
      </c>
      <c r="B25" s="194" t="s">
        <v>135</v>
      </c>
      <c r="C25" s="233" t="s">
        <v>246</v>
      </c>
      <c r="D25" s="235" t="s">
        <v>256</v>
      </c>
      <c r="E25" s="235" t="s">
        <v>246</v>
      </c>
      <c r="F25" s="225">
        <f>64.6+9.82+2.68</f>
        <v>77.1</v>
      </c>
      <c r="G25" s="228">
        <v>0.0</v>
      </c>
      <c r="H25" s="228">
        <f>F25+G25</f>
        <v>77.1</v>
      </c>
      <c r="I25" s="228">
        <f>O25</f>
        <v>0.903</v>
      </c>
      <c r="K25" s="191">
        <v>0.0</v>
      </c>
      <c r="L25" s="191">
        <v>0.451</v>
      </c>
      <c r="M25" s="191">
        <v>0.0</v>
      </c>
      <c r="N25" s="191">
        <v>0.452</v>
      </c>
      <c r="O25" s="191">
        <f t="shared" ref="O25:O27" si="11">K25+L25+M25+N25</f>
        <v>0.903</v>
      </c>
    </row>
    <row r="26" ht="15.75" customHeight="1">
      <c r="A26" s="232" t="s">
        <v>137</v>
      </c>
      <c r="B26" s="194" t="s">
        <v>273</v>
      </c>
      <c r="C26" s="233" t="s">
        <v>246</v>
      </c>
      <c r="D26" s="233" t="s">
        <v>246</v>
      </c>
      <c r="E26" s="233" t="s">
        <v>246</v>
      </c>
      <c r="F26" s="223">
        <v>246.0</v>
      </c>
      <c r="G26" s="223">
        <v>19.5</v>
      </c>
      <c r="H26" s="223">
        <f>SUM('EPD overview'!$F26:$G26)</f>
        <v>265.5</v>
      </c>
      <c r="I26" s="225">
        <f>'EPD overview'!$O26</f>
        <v>1.702</v>
      </c>
      <c r="K26" s="191">
        <v>0.0</v>
      </c>
      <c r="L26" s="191">
        <v>0.242</v>
      </c>
      <c r="M26" s="191">
        <v>1.46</v>
      </c>
      <c r="N26" s="191">
        <v>0.0</v>
      </c>
      <c r="O26" s="191">
        <f t="shared" si="11"/>
        <v>1.702</v>
      </c>
    </row>
    <row r="27" ht="15.75" customHeight="1">
      <c r="A27" s="232" t="s">
        <v>139</v>
      </c>
      <c r="B27" s="194" t="s">
        <v>141</v>
      </c>
      <c r="C27" s="233" t="s">
        <v>246</v>
      </c>
      <c r="D27" s="235" t="s">
        <v>256</v>
      </c>
      <c r="E27" s="233" t="s">
        <v>246</v>
      </c>
      <c r="F27" s="196">
        <f>3.03+0.0405+0.11</f>
        <v>3.1805</v>
      </c>
      <c r="G27" s="208">
        <v>0.0</v>
      </c>
      <c r="H27" s="208">
        <f>F27+G27</f>
        <v>3.1805</v>
      </c>
      <c r="I27" s="208">
        <f t="shared" ref="I27:I28" si="12">O27</f>
        <v>0.0557</v>
      </c>
      <c r="K27" s="191">
        <v>0.0</v>
      </c>
      <c r="L27" s="191">
        <v>0.0323</v>
      </c>
      <c r="M27" s="191">
        <v>0.0</v>
      </c>
      <c r="N27" s="191">
        <v>0.0234</v>
      </c>
      <c r="O27" s="191">
        <f t="shared" si="11"/>
        <v>0.0557</v>
      </c>
    </row>
    <row r="28" ht="15.75" customHeight="1">
      <c r="A28" s="232" t="s">
        <v>110</v>
      </c>
      <c r="B28" s="194" t="s">
        <v>112</v>
      </c>
      <c r="C28" s="233" t="s">
        <v>246</v>
      </c>
      <c r="D28" s="233" t="s">
        <v>246</v>
      </c>
      <c r="E28" s="233" t="s">
        <v>246</v>
      </c>
      <c r="F28" s="196">
        <f>19+1.76+0.661</f>
        <v>21.421</v>
      </c>
      <c r="G28" s="196">
        <f>0.402</f>
        <v>0.402</v>
      </c>
      <c r="H28" s="196">
        <f t="shared" ref="H28:H31" si="13">SUM(F28:G28)</f>
        <v>21.823</v>
      </c>
      <c r="I28" s="196">
        <f t="shared" si="12"/>
        <v>0.4476</v>
      </c>
      <c r="K28" s="183">
        <v>0.0</v>
      </c>
      <c r="L28" s="183">
        <v>0.0671</v>
      </c>
      <c r="M28" s="183">
        <v>0.356</v>
      </c>
      <c r="N28" s="183">
        <v>0.0245</v>
      </c>
      <c r="O28" s="230">
        <f>SUM(K28:N28)</f>
        <v>0.4476</v>
      </c>
    </row>
    <row r="29" ht="15.75" customHeight="1">
      <c r="A29" s="232" t="s">
        <v>114</v>
      </c>
      <c r="B29" s="194" t="s">
        <v>115</v>
      </c>
      <c r="C29" s="233" t="s">
        <v>246</v>
      </c>
      <c r="D29" s="233" t="s">
        <v>246</v>
      </c>
      <c r="E29" s="233" t="s">
        <v>246</v>
      </c>
      <c r="F29" s="196">
        <v>0.575</v>
      </c>
      <c r="G29" s="196">
        <v>0.0156</v>
      </c>
      <c r="H29" s="196">
        <f t="shared" si="13"/>
        <v>0.5906</v>
      </c>
      <c r="I29" s="196">
        <v>0.0213</v>
      </c>
      <c r="O29" s="107">
        <v>0.0213</v>
      </c>
    </row>
    <row r="30" ht="15.75" customHeight="1">
      <c r="A30" s="232" t="s">
        <v>116</v>
      </c>
      <c r="B30" s="194" t="s">
        <v>117</v>
      </c>
      <c r="C30" s="233" t="s">
        <v>246</v>
      </c>
      <c r="D30" s="233" t="s">
        <v>246</v>
      </c>
      <c r="E30" s="233" t="s">
        <v>246</v>
      </c>
      <c r="F30" s="196">
        <v>5.62</v>
      </c>
      <c r="G30" s="196">
        <v>0.191</v>
      </c>
      <c r="H30" s="196">
        <f t="shared" si="13"/>
        <v>5.811</v>
      </c>
      <c r="I30" s="196">
        <f t="shared" ref="I30:I31" si="14">O30</f>
        <v>0.48955</v>
      </c>
      <c r="K30" s="107">
        <v>0.0</v>
      </c>
      <c r="L30" s="183">
        <v>0.0335</v>
      </c>
      <c r="M30" s="183">
        <v>0.451</v>
      </c>
      <c r="N30" s="183">
        <v>0.00505</v>
      </c>
      <c r="O30" s="107">
        <f t="shared" ref="O30:O31" si="15">SUM(K30:N30)</f>
        <v>0.48955</v>
      </c>
    </row>
    <row r="31" ht="15.75" customHeight="1">
      <c r="A31" s="232" t="s">
        <v>118</v>
      </c>
      <c r="B31" s="194" t="s">
        <v>119</v>
      </c>
      <c r="C31" s="233" t="s">
        <v>246</v>
      </c>
      <c r="D31" s="233" t="s">
        <v>246</v>
      </c>
      <c r="E31" s="233" t="s">
        <v>246</v>
      </c>
      <c r="F31" s="196">
        <f>3.48+0.0707+0.583</f>
        <v>4.1337</v>
      </c>
      <c r="G31" s="196">
        <v>0.243</v>
      </c>
      <c r="H31" s="196">
        <f t="shared" si="13"/>
        <v>4.3767</v>
      </c>
      <c r="I31" s="196">
        <f t="shared" si="14"/>
        <v>3.04062</v>
      </c>
      <c r="K31" s="183">
        <v>0.0167</v>
      </c>
      <c r="L31" s="183">
        <v>3.02</v>
      </c>
      <c r="M31" s="183">
        <v>0.00196</v>
      </c>
      <c r="N31" s="183">
        <v>0.00196</v>
      </c>
      <c r="O31" s="230">
        <f t="shared" si="15"/>
        <v>3.04062</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J2:L2"/>
    <mergeCell ref="Q12:U12"/>
  </mergeCells>
  <conditionalFormatting sqref="A4:A31">
    <cfRule type="cellIs" dxfId="4" priority="1" operator="equal">
      <formula>"No"</formula>
    </cfRule>
  </conditionalFormatting>
  <conditionalFormatting sqref="C4:E31">
    <cfRule type="cellIs" dxfId="4" priority="2" operator="equal">
      <formula>"No"</formula>
    </cfRule>
  </conditionalFormatting>
  <conditionalFormatting sqref="F4:I31">
    <cfRule type="cellIs" dxfId="4" priority="3" operator="equal">
      <formula>0</formula>
    </cfRule>
  </conditionalFormatting>
  <hyperlinks>
    <hyperlink r:id="rId2" ref="B4"/>
    <hyperlink r:id="rId3" ref="B5"/>
    <hyperlink r:id="rId4" ref="B6"/>
    <hyperlink r:id="rId5" ref="B7"/>
    <hyperlink r:id="rId6" ref="B8"/>
    <hyperlink r:id="rId7" ref="B9"/>
    <hyperlink r:id="rId8" ref="B10"/>
    <hyperlink r:id="rId9" ref="B11"/>
    <hyperlink r:id="rId10" ref="B12"/>
    <hyperlink r:id="rId11" ref="B13"/>
    <hyperlink r:id="rId12" ref="B14"/>
    <hyperlink r:id="rId13" ref="B17"/>
    <hyperlink r:id="rId14" ref="B19"/>
    <hyperlink r:id="rId15" ref="B20"/>
    <hyperlink r:id="rId16" ref="B21"/>
    <hyperlink r:id="rId17" ref="B22"/>
    <hyperlink r:id="rId18" ref="B23"/>
    <hyperlink r:id="rId19" ref="B24"/>
    <hyperlink r:id="rId20" ref="B25"/>
    <hyperlink r:id="rId21" ref="B26"/>
    <hyperlink r:id="rId22" ref="B27"/>
    <hyperlink r:id="rId23" ref="B28"/>
    <hyperlink r:id="rId24" ref="B29"/>
    <hyperlink r:id="rId25" ref="B30"/>
    <hyperlink r:id="rId26" ref="B31"/>
  </hyperlinks>
  <printOptions/>
  <pageMargins bottom="0.75" footer="0.0" header="0.0" left="0.7" right="0.7" top="0.75"/>
  <pageSetup orientation="landscape"/>
  <drawing r:id="rId27"/>
  <legacyDrawing r:id="rId28"/>
  <tableParts count="2">
    <tablePart r:id="rId31"/>
    <tablePart r:id="rId32"/>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3.0"/>
    <col customWidth="1" min="2" max="3" width="17.86"/>
    <col customWidth="1" min="4" max="4" width="16.29"/>
    <col customWidth="1" min="5" max="6" width="9.43"/>
    <col customWidth="1" min="7" max="8" width="17.86"/>
    <col customWidth="1" min="9" max="10" width="11.43"/>
    <col customWidth="1" min="11" max="12" width="16.71"/>
    <col customWidth="1" min="13" max="13" width="11.43"/>
    <col customWidth="1" min="14" max="14" width="17.86"/>
    <col customWidth="1" min="15" max="16" width="11.43"/>
    <col customWidth="1" min="17" max="17" width="16.43"/>
    <col customWidth="1" min="18" max="18" width="9.14"/>
    <col customWidth="1" min="19" max="20" width="11.43"/>
    <col customWidth="1" min="21" max="21" width="23.0"/>
    <col customWidth="1" min="22" max="23" width="8.86"/>
    <col customWidth="1" min="24" max="24" width="10.86"/>
    <col customWidth="1" min="25" max="25" width="7.71"/>
    <col customWidth="1" min="26" max="26" width="20.71"/>
    <col customWidth="1" min="27" max="27" width="9.57"/>
    <col customWidth="1" min="28" max="31" width="8.86"/>
  </cols>
  <sheetData>
    <row r="2">
      <c r="A2" s="36" t="s">
        <v>278</v>
      </c>
      <c r="B2" s="36"/>
      <c r="C2" s="36"/>
      <c r="D2" s="36" t="s">
        <v>279</v>
      </c>
      <c r="E2" s="36"/>
      <c r="F2" s="36"/>
    </row>
    <row r="3">
      <c r="D3" s="236" t="s">
        <v>280</v>
      </c>
      <c r="E3" s="237"/>
      <c r="F3" s="36"/>
      <c r="G3" s="36" t="s">
        <v>281</v>
      </c>
      <c r="H3" s="36"/>
      <c r="I3" s="36"/>
      <c r="J3" s="36"/>
      <c r="K3" s="36"/>
      <c r="M3" s="36" t="s">
        <v>282</v>
      </c>
      <c r="N3" s="36"/>
      <c r="O3" s="36"/>
      <c r="P3" s="36"/>
      <c r="Q3" s="36"/>
      <c r="S3" s="36" t="s">
        <v>283</v>
      </c>
      <c r="T3" s="36"/>
      <c r="U3" s="36"/>
      <c r="V3" s="36"/>
      <c r="W3" s="36"/>
      <c r="Z3" s="36" t="s">
        <v>284</v>
      </c>
    </row>
    <row r="4">
      <c r="A4" s="26" t="s">
        <v>285</v>
      </c>
      <c r="B4" s="26" t="s">
        <v>286</v>
      </c>
      <c r="C4" s="26" t="s">
        <v>287</v>
      </c>
      <c r="D4" s="238" t="s">
        <v>288</v>
      </c>
      <c r="E4" s="238" t="s">
        <v>289</v>
      </c>
      <c r="F4" s="36"/>
      <c r="J4" s="236" t="s">
        <v>280</v>
      </c>
      <c r="K4" s="237"/>
      <c r="P4" s="236" t="s">
        <v>280</v>
      </c>
      <c r="Q4" s="237"/>
      <c r="V4" s="236" t="s">
        <v>280</v>
      </c>
      <c r="W4" s="237"/>
      <c r="AC4" s="236" t="s">
        <v>280</v>
      </c>
      <c r="AD4" s="239"/>
    </row>
    <row r="5">
      <c r="A5" s="240" t="s">
        <v>69</v>
      </c>
      <c r="B5" s="240">
        <v>10.0</v>
      </c>
      <c r="C5" s="240" t="s">
        <v>71</v>
      </c>
      <c r="D5" s="241"/>
      <c r="E5" s="241"/>
      <c r="F5" s="36"/>
      <c r="G5" s="26" t="s">
        <v>290</v>
      </c>
      <c r="H5" s="26" t="s">
        <v>286</v>
      </c>
      <c r="I5" s="26" t="s">
        <v>287</v>
      </c>
      <c r="J5" s="238" t="s">
        <v>288</v>
      </c>
      <c r="K5" s="238" t="s">
        <v>289</v>
      </c>
      <c r="M5" s="26" t="s">
        <v>291</v>
      </c>
      <c r="N5" s="26" t="s">
        <v>155</v>
      </c>
      <c r="O5" s="26" t="s">
        <v>287</v>
      </c>
      <c r="P5" s="238" t="s">
        <v>288</v>
      </c>
      <c r="Q5" s="238" t="s">
        <v>289</v>
      </c>
      <c r="S5" s="26" t="s">
        <v>292</v>
      </c>
      <c r="T5" s="26" t="s">
        <v>155</v>
      </c>
      <c r="U5" s="26" t="s">
        <v>287</v>
      </c>
      <c r="V5" s="238" t="s">
        <v>288</v>
      </c>
      <c r="W5" s="238" t="s">
        <v>289</v>
      </c>
      <c r="Z5" s="26" t="s">
        <v>293</v>
      </c>
      <c r="AA5" s="26" t="s">
        <v>155</v>
      </c>
      <c r="AB5" s="26" t="s">
        <v>287</v>
      </c>
      <c r="AC5" s="238" t="s">
        <v>288</v>
      </c>
      <c r="AD5" s="238" t="s">
        <v>289</v>
      </c>
    </row>
    <row r="6">
      <c r="A6" s="184" t="s">
        <v>74</v>
      </c>
      <c r="B6" s="184">
        <v>13.2</v>
      </c>
      <c r="C6" s="240" t="s">
        <v>71</v>
      </c>
      <c r="D6" s="241"/>
      <c r="E6" s="241"/>
      <c r="F6" s="36"/>
      <c r="G6" s="240" t="s">
        <v>69</v>
      </c>
      <c r="H6" s="240">
        <v>10.0</v>
      </c>
      <c r="I6" s="240" t="s">
        <v>71</v>
      </c>
      <c r="J6" s="241">
        <v>0.0</v>
      </c>
      <c r="K6" s="241" t="s">
        <v>294</v>
      </c>
      <c r="M6" s="240" t="s">
        <v>102</v>
      </c>
      <c r="N6" s="184">
        <f>H16*2</f>
        <v>4.8</v>
      </c>
      <c r="O6" s="240" t="s">
        <v>71</v>
      </c>
      <c r="P6" s="241">
        <v>3.0</v>
      </c>
      <c r="Q6" s="241" t="s">
        <v>71</v>
      </c>
      <c r="S6" s="240" t="s">
        <v>102</v>
      </c>
      <c r="T6" s="184">
        <f>H16/2</f>
        <v>1.2</v>
      </c>
      <c r="U6" s="240" t="s">
        <v>71</v>
      </c>
      <c r="V6" s="241">
        <v>0.7</v>
      </c>
      <c r="W6" s="241" t="s">
        <v>295</v>
      </c>
      <c r="Z6" s="240" t="s">
        <v>69</v>
      </c>
      <c r="AA6" s="184">
        <f t="shared" ref="AA6:AA20" si="1">H6*5</f>
        <v>50</v>
      </c>
      <c r="AB6" s="240" t="s">
        <v>71</v>
      </c>
      <c r="AC6" s="241">
        <v>10.0</v>
      </c>
      <c r="AD6" s="241" t="s">
        <v>71</v>
      </c>
    </row>
    <row r="7">
      <c r="A7" s="240" t="s">
        <v>76</v>
      </c>
      <c r="B7" s="240">
        <v>36.0</v>
      </c>
      <c r="C7" s="240" t="s">
        <v>71</v>
      </c>
      <c r="D7" s="241"/>
      <c r="E7" s="241"/>
      <c r="F7" s="36"/>
      <c r="G7" s="184" t="s">
        <v>74</v>
      </c>
      <c r="H7" s="184">
        <v>13.2</v>
      </c>
      <c r="I7" s="240" t="s">
        <v>71</v>
      </c>
      <c r="J7" s="241">
        <v>0.0</v>
      </c>
      <c r="K7" s="241" t="s">
        <v>250</v>
      </c>
      <c r="M7" s="184" t="s">
        <v>168</v>
      </c>
      <c r="N7" s="184">
        <f>H19*2</f>
        <v>280.4</v>
      </c>
      <c r="O7" s="240" t="s">
        <v>71</v>
      </c>
      <c r="P7" s="241">
        <v>50.0</v>
      </c>
      <c r="Q7" s="241" t="s">
        <v>71</v>
      </c>
      <c r="S7" s="184" t="s">
        <v>168</v>
      </c>
      <c r="T7" s="184">
        <f>H19/2</f>
        <v>70.1</v>
      </c>
      <c r="U7" s="240" t="s">
        <v>71</v>
      </c>
      <c r="V7" s="241">
        <f>25*0.5</f>
        <v>12.5</v>
      </c>
      <c r="W7" s="241" t="s">
        <v>295</v>
      </c>
      <c r="Z7" s="184" t="s">
        <v>74</v>
      </c>
      <c r="AA7" s="184">
        <f t="shared" si="1"/>
        <v>66</v>
      </c>
      <c r="AB7" s="240" t="s">
        <v>71</v>
      </c>
      <c r="AC7" s="241">
        <v>13.2</v>
      </c>
      <c r="AD7" s="241" t="s">
        <v>71</v>
      </c>
    </row>
    <row r="8">
      <c r="A8" s="184" t="s">
        <v>77</v>
      </c>
      <c r="B8" s="184">
        <v>8.8</v>
      </c>
      <c r="C8" s="240" t="s">
        <v>71</v>
      </c>
      <c r="D8" s="241"/>
      <c r="E8" s="241"/>
      <c r="F8" s="36"/>
      <c r="G8" s="240" t="s">
        <v>76</v>
      </c>
      <c r="H8" s="240">
        <v>36.0</v>
      </c>
      <c r="I8" s="240" t="s">
        <v>71</v>
      </c>
      <c r="J8" s="241">
        <v>0.0</v>
      </c>
      <c r="K8" s="241" t="s">
        <v>250</v>
      </c>
      <c r="M8" s="240" t="s">
        <v>98</v>
      </c>
      <c r="N8" s="184">
        <v>0.4</v>
      </c>
      <c r="O8" s="240" t="s">
        <v>71</v>
      </c>
      <c r="P8" s="241">
        <v>0.2</v>
      </c>
      <c r="Q8" s="241" t="s">
        <v>71</v>
      </c>
      <c r="S8" s="184" t="s">
        <v>86</v>
      </c>
      <c r="T8" s="184">
        <f>H12/2</f>
        <v>45</v>
      </c>
      <c r="U8" s="240" t="s">
        <v>71</v>
      </c>
      <c r="V8" s="241">
        <f>22.5/2</f>
        <v>11.25</v>
      </c>
      <c r="W8" s="241" t="s">
        <v>295</v>
      </c>
      <c r="Z8" s="240" t="s">
        <v>76</v>
      </c>
      <c r="AA8" s="184">
        <f t="shared" si="1"/>
        <v>180</v>
      </c>
      <c r="AB8" s="240" t="s">
        <v>71</v>
      </c>
      <c r="AC8" s="241">
        <v>36.0</v>
      </c>
      <c r="AD8" s="241" t="s">
        <v>71</v>
      </c>
    </row>
    <row r="9">
      <c r="A9" s="240" t="s">
        <v>80</v>
      </c>
      <c r="B9" s="240">
        <v>2.8</v>
      </c>
      <c r="C9" s="240" t="s">
        <v>71</v>
      </c>
      <c r="D9" s="241"/>
      <c r="E9" s="241"/>
      <c r="F9" s="36"/>
      <c r="G9" s="184" t="s">
        <v>77</v>
      </c>
      <c r="H9" s="184">
        <v>8.8</v>
      </c>
      <c r="I9" s="240" t="s">
        <v>71</v>
      </c>
      <c r="J9" s="241">
        <v>8.8</v>
      </c>
      <c r="K9" s="241" t="s">
        <v>250</v>
      </c>
      <c r="M9" s="184" t="s">
        <v>77</v>
      </c>
      <c r="N9" s="184">
        <f>H9*2</f>
        <v>17.6</v>
      </c>
      <c r="O9" s="240" t="s">
        <v>71</v>
      </c>
      <c r="P9" s="241">
        <v>4.4</v>
      </c>
      <c r="Q9" s="241" t="s">
        <v>71</v>
      </c>
      <c r="S9" s="240" t="s">
        <v>98</v>
      </c>
      <c r="T9" s="184">
        <f>H15/2</f>
        <v>0.1</v>
      </c>
      <c r="U9" s="240" t="s">
        <v>71</v>
      </c>
      <c r="V9" s="241">
        <v>0.1</v>
      </c>
      <c r="W9" s="241" t="s">
        <v>295</v>
      </c>
      <c r="Z9" s="184" t="s">
        <v>77</v>
      </c>
      <c r="AA9" s="184">
        <f t="shared" si="1"/>
        <v>44</v>
      </c>
      <c r="AB9" s="240" t="s">
        <v>71</v>
      </c>
      <c r="AC9" s="241">
        <v>8.8</v>
      </c>
      <c r="AD9" s="241" t="s">
        <v>71</v>
      </c>
    </row>
    <row r="10">
      <c r="A10" s="184" t="s">
        <v>83</v>
      </c>
      <c r="B10" s="184">
        <v>1.0</v>
      </c>
      <c r="C10" s="240" t="s">
        <v>71</v>
      </c>
      <c r="D10" s="241"/>
      <c r="E10" s="241"/>
      <c r="F10" s="36"/>
      <c r="G10" s="240" t="s">
        <v>80</v>
      </c>
      <c r="H10" s="240">
        <v>2.8</v>
      </c>
      <c r="I10" s="240" t="s">
        <v>71</v>
      </c>
      <c r="J10" s="241">
        <v>2.8</v>
      </c>
      <c r="K10" s="241" t="s">
        <v>250</v>
      </c>
      <c r="M10" s="240" t="s">
        <v>122</v>
      </c>
      <c r="N10" s="184">
        <f>H18*2</f>
        <v>0.4</v>
      </c>
      <c r="O10" s="240" t="s">
        <v>71</v>
      </c>
      <c r="P10" s="241">
        <v>0.2</v>
      </c>
      <c r="Q10" s="241" t="s">
        <v>71</v>
      </c>
      <c r="S10" s="184" t="s">
        <v>77</v>
      </c>
      <c r="T10" s="184">
        <f>H9/2</f>
        <v>4.4</v>
      </c>
      <c r="U10" s="240" t="s">
        <v>71</v>
      </c>
      <c r="V10" s="241">
        <f>(4.4/2)/2</f>
        <v>1.1</v>
      </c>
      <c r="W10" s="241" t="s">
        <v>295</v>
      </c>
      <c r="Z10" s="240" t="s">
        <v>80</v>
      </c>
      <c r="AA10" s="184">
        <f t="shared" si="1"/>
        <v>14</v>
      </c>
      <c r="AB10" s="240" t="s">
        <v>71</v>
      </c>
      <c r="AC10" s="241">
        <v>2.8</v>
      </c>
      <c r="AD10" s="241" t="s">
        <v>71</v>
      </c>
    </row>
    <row r="11">
      <c r="A11" s="242" t="s">
        <v>86</v>
      </c>
      <c r="B11" s="242">
        <v>90.0</v>
      </c>
      <c r="C11" s="242" t="s">
        <v>71</v>
      </c>
      <c r="D11" s="242">
        <v>22.5</v>
      </c>
      <c r="E11" s="241" t="s">
        <v>250</v>
      </c>
      <c r="F11" s="36"/>
      <c r="G11" s="184" t="s">
        <v>83</v>
      </c>
      <c r="H11" s="184">
        <v>1.0</v>
      </c>
      <c r="I11" s="240" t="s">
        <v>71</v>
      </c>
      <c r="J11" s="241">
        <v>1.0</v>
      </c>
      <c r="K11" s="241" t="s">
        <v>250</v>
      </c>
      <c r="M11" s="184" t="s">
        <v>126</v>
      </c>
      <c r="N11" s="184">
        <f>H20*2</f>
        <v>8</v>
      </c>
      <c r="O11" s="240" t="s">
        <v>71</v>
      </c>
      <c r="P11" s="241">
        <v>1.0</v>
      </c>
      <c r="Q11" s="241" t="s">
        <v>71</v>
      </c>
      <c r="S11" s="240" t="s">
        <v>122</v>
      </c>
      <c r="T11" s="184">
        <f>H18/2</f>
        <v>0.1</v>
      </c>
      <c r="U11" s="240" t="s">
        <v>71</v>
      </c>
      <c r="V11" s="241">
        <v>0.1</v>
      </c>
      <c r="W11" s="241" t="s">
        <v>295</v>
      </c>
      <c r="Z11" s="184" t="s">
        <v>83</v>
      </c>
      <c r="AA11" s="184">
        <f t="shared" si="1"/>
        <v>5</v>
      </c>
      <c r="AB11" s="240" t="s">
        <v>71</v>
      </c>
      <c r="AC11" s="241">
        <v>1.0</v>
      </c>
      <c r="AD11" s="241" t="s">
        <v>71</v>
      </c>
    </row>
    <row r="12">
      <c r="A12" s="184" t="s">
        <v>89</v>
      </c>
      <c r="B12" s="184">
        <v>2.4</v>
      </c>
      <c r="C12" s="240" t="s">
        <v>71</v>
      </c>
      <c r="D12" s="241"/>
      <c r="E12" s="241"/>
      <c r="F12" s="36"/>
      <c r="G12" s="240" t="s">
        <v>86</v>
      </c>
      <c r="H12" s="240">
        <v>90.0</v>
      </c>
      <c r="I12" s="240" t="s">
        <v>71</v>
      </c>
      <c r="J12" s="241">
        <v>22.5</v>
      </c>
      <c r="K12" s="241" t="s">
        <v>250</v>
      </c>
      <c r="M12" s="240" t="s">
        <v>131</v>
      </c>
      <c r="N12" s="184">
        <v>1.0</v>
      </c>
      <c r="O12" s="243" t="s">
        <v>111</v>
      </c>
      <c r="P12" s="241">
        <v>1.0</v>
      </c>
      <c r="Q12" s="241" t="s">
        <v>111</v>
      </c>
      <c r="S12" s="184" t="s">
        <v>126</v>
      </c>
      <c r="T12" s="184">
        <f>H20/2</f>
        <v>2</v>
      </c>
      <c r="U12" s="240" t="s">
        <v>71</v>
      </c>
      <c r="V12" s="241">
        <v>2.0</v>
      </c>
      <c r="W12" s="241" t="s">
        <v>295</v>
      </c>
      <c r="Z12" s="240" t="s">
        <v>86</v>
      </c>
      <c r="AA12" s="184">
        <f t="shared" si="1"/>
        <v>450</v>
      </c>
      <c r="AB12" s="240" t="s">
        <v>71</v>
      </c>
      <c r="AC12" s="241">
        <v>22.5</v>
      </c>
      <c r="AD12" s="241" t="s">
        <v>71</v>
      </c>
    </row>
    <row r="13">
      <c r="A13" s="240" t="s">
        <v>92</v>
      </c>
      <c r="B13" s="240">
        <v>2.4</v>
      </c>
      <c r="C13" s="240" t="s">
        <v>71</v>
      </c>
      <c r="D13" s="241"/>
      <c r="E13" s="241"/>
      <c r="F13" s="36"/>
      <c r="G13" s="184" t="s">
        <v>89</v>
      </c>
      <c r="H13" s="184">
        <v>2.4</v>
      </c>
      <c r="I13" s="240" t="s">
        <v>71</v>
      </c>
      <c r="J13" s="241">
        <v>2.4</v>
      </c>
      <c r="K13" s="241" t="s">
        <v>250</v>
      </c>
      <c r="M13" s="184" t="s">
        <v>133</v>
      </c>
      <c r="N13" s="184">
        <v>1.0</v>
      </c>
      <c r="O13" s="243" t="s">
        <v>111</v>
      </c>
      <c r="P13" s="241">
        <v>1.0</v>
      </c>
      <c r="Q13" s="241" t="s">
        <v>111</v>
      </c>
      <c r="Z13" s="184" t="s">
        <v>89</v>
      </c>
      <c r="AA13" s="184">
        <f t="shared" si="1"/>
        <v>12</v>
      </c>
      <c r="AB13" s="240" t="s">
        <v>71</v>
      </c>
      <c r="AC13" s="241">
        <v>2.4</v>
      </c>
      <c r="AD13" s="241" t="s">
        <v>71</v>
      </c>
    </row>
    <row r="14">
      <c r="A14" s="184" t="s">
        <v>98</v>
      </c>
      <c r="B14" s="184">
        <v>0.2</v>
      </c>
      <c r="C14" s="240" t="s">
        <v>71</v>
      </c>
      <c r="D14" s="241"/>
      <c r="E14" s="241"/>
      <c r="F14" s="36"/>
      <c r="G14" s="240" t="s">
        <v>92</v>
      </c>
      <c r="H14" s="240">
        <v>2.4</v>
      </c>
      <c r="I14" s="240" t="s">
        <v>71</v>
      </c>
      <c r="J14" s="241">
        <v>2.4</v>
      </c>
      <c r="K14" s="241" t="s">
        <v>250</v>
      </c>
      <c r="Z14" s="240" t="s">
        <v>92</v>
      </c>
      <c r="AA14" s="184">
        <f t="shared" si="1"/>
        <v>12</v>
      </c>
      <c r="AB14" s="240" t="s">
        <v>71</v>
      </c>
      <c r="AC14" s="241">
        <v>2.4</v>
      </c>
      <c r="AD14" s="241" t="s">
        <v>71</v>
      </c>
    </row>
    <row r="15">
      <c r="A15" s="240" t="s">
        <v>102</v>
      </c>
      <c r="B15" s="240">
        <v>2.4</v>
      </c>
      <c r="C15" s="240" t="s">
        <v>71</v>
      </c>
      <c r="D15" s="241"/>
      <c r="E15" s="241"/>
      <c r="F15" s="36"/>
      <c r="G15" s="184" t="s">
        <v>98</v>
      </c>
      <c r="H15" s="184">
        <v>0.2</v>
      </c>
      <c r="I15" s="240" t="s">
        <v>71</v>
      </c>
      <c r="J15" s="241">
        <v>0.2</v>
      </c>
      <c r="K15" s="241" t="s">
        <v>250</v>
      </c>
      <c r="Z15" s="184" t="s">
        <v>98</v>
      </c>
      <c r="AA15" s="184">
        <f t="shared" si="1"/>
        <v>1</v>
      </c>
      <c r="AB15" s="240" t="s">
        <v>71</v>
      </c>
      <c r="AC15" s="241">
        <v>0.2</v>
      </c>
      <c r="AD15" s="241" t="s">
        <v>71</v>
      </c>
    </row>
    <row r="16">
      <c r="A16" s="184" t="s">
        <v>104</v>
      </c>
      <c r="B16" s="184">
        <v>4.8</v>
      </c>
      <c r="C16" s="240" t="s">
        <v>71</v>
      </c>
      <c r="D16" s="241"/>
      <c r="E16" s="241"/>
      <c r="F16" s="36"/>
      <c r="G16" s="240" t="s">
        <v>102</v>
      </c>
      <c r="H16" s="240">
        <v>2.4</v>
      </c>
      <c r="I16" s="240" t="s">
        <v>71</v>
      </c>
      <c r="J16" s="241">
        <v>2.4</v>
      </c>
      <c r="K16" s="241" t="s">
        <v>250</v>
      </c>
      <c r="Z16" s="240" t="s">
        <v>102</v>
      </c>
      <c r="AA16" s="184">
        <f t="shared" si="1"/>
        <v>12</v>
      </c>
      <c r="AB16" s="240" t="s">
        <v>71</v>
      </c>
      <c r="AC16" s="241">
        <v>2.4</v>
      </c>
      <c r="AD16" s="241" t="s">
        <v>71</v>
      </c>
    </row>
    <row r="17">
      <c r="A17" s="240" t="s">
        <v>122</v>
      </c>
      <c r="B17" s="240">
        <v>0.2</v>
      </c>
      <c r="C17" s="240" t="s">
        <v>71</v>
      </c>
      <c r="D17" s="241"/>
      <c r="E17" s="241"/>
      <c r="F17" s="36"/>
      <c r="G17" s="184" t="s">
        <v>104</v>
      </c>
      <c r="H17" s="184">
        <v>4.8</v>
      </c>
      <c r="I17" s="240" t="s">
        <v>71</v>
      </c>
      <c r="J17" s="241">
        <v>0.0</v>
      </c>
      <c r="K17" s="241" t="s">
        <v>250</v>
      </c>
      <c r="Z17" s="184" t="s">
        <v>104</v>
      </c>
      <c r="AA17" s="184">
        <f t="shared" si="1"/>
        <v>24</v>
      </c>
      <c r="AB17" s="240" t="s">
        <v>71</v>
      </c>
      <c r="AC17" s="241">
        <v>4.8</v>
      </c>
      <c r="AD17" s="241" t="s">
        <v>71</v>
      </c>
    </row>
    <row r="18">
      <c r="A18" s="242" t="s">
        <v>124</v>
      </c>
      <c r="B18" s="242">
        <v>140.2</v>
      </c>
      <c r="C18" s="242" t="s">
        <v>71</v>
      </c>
      <c r="D18" s="241">
        <v>100.0</v>
      </c>
      <c r="E18" s="241" t="s">
        <v>250</v>
      </c>
      <c r="F18" s="36"/>
      <c r="G18" s="240" t="s">
        <v>122</v>
      </c>
      <c r="H18" s="240">
        <v>0.2</v>
      </c>
      <c r="I18" s="240" t="s">
        <v>71</v>
      </c>
      <c r="J18" s="241">
        <v>0.2</v>
      </c>
      <c r="K18" s="241" t="s">
        <v>250</v>
      </c>
      <c r="Z18" s="240" t="s">
        <v>122</v>
      </c>
      <c r="AA18" s="184">
        <f t="shared" si="1"/>
        <v>1</v>
      </c>
      <c r="AB18" s="240" t="s">
        <v>71</v>
      </c>
      <c r="AC18" s="241">
        <v>0.2</v>
      </c>
      <c r="AD18" s="241" t="s">
        <v>71</v>
      </c>
    </row>
    <row r="19">
      <c r="A19" s="240" t="s">
        <v>126</v>
      </c>
      <c r="B19" s="240">
        <v>4.0</v>
      </c>
      <c r="C19" s="240" t="s">
        <v>71</v>
      </c>
      <c r="D19" s="241"/>
      <c r="E19" s="241"/>
      <c r="F19" s="36"/>
      <c r="G19" s="184" t="s">
        <v>124</v>
      </c>
      <c r="H19" s="184">
        <v>140.2</v>
      </c>
      <c r="I19" s="240" t="s">
        <v>71</v>
      </c>
      <c r="J19" s="241">
        <v>25.0</v>
      </c>
      <c r="K19" s="241" t="s">
        <v>250</v>
      </c>
      <c r="Z19" s="184" t="s">
        <v>124</v>
      </c>
      <c r="AA19" s="184">
        <f t="shared" si="1"/>
        <v>701</v>
      </c>
      <c r="AB19" s="240" t="s">
        <v>71</v>
      </c>
      <c r="AC19" s="241">
        <v>25.0</v>
      </c>
      <c r="AD19" s="241" t="s">
        <v>71</v>
      </c>
      <c r="AE19" s="36"/>
    </row>
    <row r="20">
      <c r="A20" s="184" t="s">
        <v>128</v>
      </c>
      <c r="B20" s="184">
        <v>1.0</v>
      </c>
      <c r="C20" s="243" t="s">
        <v>111</v>
      </c>
      <c r="D20" s="241"/>
      <c r="E20" s="241"/>
      <c r="F20" s="36"/>
      <c r="G20" s="240" t="s">
        <v>126</v>
      </c>
      <c r="H20" s="240">
        <v>4.0</v>
      </c>
      <c r="I20" s="240" t="s">
        <v>71</v>
      </c>
      <c r="J20" s="241">
        <v>4.0</v>
      </c>
      <c r="K20" s="241" t="s">
        <v>250</v>
      </c>
      <c r="Z20" s="240" t="s">
        <v>126</v>
      </c>
      <c r="AA20" s="184">
        <f t="shared" si="1"/>
        <v>20</v>
      </c>
      <c r="AB20" s="240" t="s">
        <v>71</v>
      </c>
      <c r="AC20" s="241">
        <v>4.0</v>
      </c>
      <c r="AD20" s="241" t="s">
        <v>71</v>
      </c>
    </row>
    <row r="21" ht="15.75" customHeight="1">
      <c r="A21" s="240" t="s">
        <v>131</v>
      </c>
      <c r="B21" s="240">
        <v>1.0</v>
      </c>
      <c r="C21" s="243" t="s">
        <v>111</v>
      </c>
      <c r="D21" s="241"/>
      <c r="E21" s="241"/>
      <c r="F21" s="36"/>
      <c r="G21" s="184" t="s">
        <v>128</v>
      </c>
      <c r="H21" s="184">
        <v>1.0</v>
      </c>
      <c r="I21" s="243" t="s">
        <v>111</v>
      </c>
      <c r="J21" s="241">
        <v>1.0</v>
      </c>
      <c r="K21" s="241" t="s">
        <v>111</v>
      </c>
      <c r="Z21" s="184" t="s">
        <v>128</v>
      </c>
      <c r="AA21" s="184">
        <v>1.0</v>
      </c>
      <c r="AB21" s="243" t="s">
        <v>111</v>
      </c>
      <c r="AC21" s="241">
        <v>1.0</v>
      </c>
      <c r="AD21" s="241" t="s">
        <v>111</v>
      </c>
    </row>
    <row r="22" ht="15.75" customHeight="1">
      <c r="A22" s="184" t="s">
        <v>133</v>
      </c>
      <c r="B22" s="184">
        <v>1.0</v>
      </c>
      <c r="C22" s="243" t="s">
        <v>111</v>
      </c>
      <c r="D22" s="241"/>
      <c r="E22" s="241"/>
      <c r="F22" s="36"/>
      <c r="G22" s="240" t="s">
        <v>131</v>
      </c>
      <c r="H22" s="240">
        <v>1.0</v>
      </c>
      <c r="I22" s="243" t="s">
        <v>111</v>
      </c>
      <c r="J22" s="241">
        <v>1.0</v>
      </c>
      <c r="K22" s="241" t="s">
        <v>111</v>
      </c>
      <c r="Z22" s="240" t="s">
        <v>131</v>
      </c>
      <c r="AA22" s="184">
        <v>0.0</v>
      </c>
      <c r="AB22" s="243" t="s">
        <v>111</v>
      </c>
      <c r="AC22" s="241">
        <v>1.0</v>
      </c>
      <c r="AD22" s="241" t="s">
        <v>111</v>
      </c>
    </row>
    <row r="23" ht="15.75" customHeight="1">
      <c r="A23" s="240" t="s">
        <v>137</v>
      </c>
      <c r="B23" s="240">
        <v>1.0</v>
      </c>
      <c r="C23" s="243" t="s">
        <v>111</v>
      </c>
      <c r="D23" s="241"/>
      <c r="E23" s="241"/>
      <c r="F23" s="36"/>
      <c r="G23" s="184" t="s">
        <v>133</v>
      </c>
      <c r="H23" s="184">
        <v>1.0</v>
      </c>
      <c r="I23" s="243" t="s">
        <v>111</v>
      </c>
      <c r="J23" s="241">
        <v>1.0</v>
      </c>
      <c r="K23" s="241" t="s">
        <v>111</v>
      </c>
      <c r="Z23" s="184" t="s">
        <v>133</v>
      </c>
      <c r="AA23" s="184">
        <v>0.0</v>
      </c>
      <c r="AB23" s="243" t="s">
        <v>111</v>
      </c>
      <c r="AC23" s="241">
        <v>1.0</v>
      </c>
      <c r="AD23" s="241" t="s">
        <v>111</v>
      </c>
    </row>
    <row r="24" ht="15.75" customHeight="1">
      <c r="F24" s="36"/>
      <c r="G24" s="240" t="s">
        <v>137</v>
      </c>
      <c r="H24" s="240">
        <v>1.0</v>
      </c>
      <c r="I24" s="243" t="s">
        <v>111</v>
      </c>
      <c r="J24" s="241">
        <v>1.0</v>
      </c>
      <c r="K24" s="241" t="s">
        <v>111</v>
      </c>
      <c r="Z24" s="240" t="s">
        <v>137</v>
      </c>
      <c r="AA24" s="184">
        <f>H24*5</f>
        <v>5</v>
      </c>
      <c r="AB24" s="243" t="s">
        <v>111</v>
      </c>
      <c r="AC24" s="241">
        <v>1.0</v>
      </c>
      <c r="AD24" s="241" t="s">
        <v>111</v>
      </c>
    </row>
    <row r="25" ht="15.75" customHeight="1">
      <c r="A25" s="184" t="s">
        <v>139</v>
      </c>
      <c r="B25" s="184">
        <v>7.0</v>
      </c>
      <c r="C25" s="243" t="s">
        <v>111</v>
      </c>
      <c r="D25" s="241"/>
      <c r="E25" s="241"/>
      <c r="F25" s="36"/>
      <c r="U25" s="184"/>
      <c r="V25" s="184"/>
      <c r="W25" s="240"/>
      <c r="X25" s="241"/>
      <c r="Y25" s="241"/>
      <c r="Z25" s="241"/>
      <c r="AA25" s="241"/>
      <c r="AC25" s="107">
        <f>SUM(AC6:AC24)</f>
        <v>139.7</v>
      </c>
    </row>
    <row r="26" ht="15.75" customHeight="1">
      <c r="F26" s="36"/>
    </row>
    <row r="27" ht="15.75" customHeight="1">
      <c r="F27" s="36"/>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43"/>
    <col customWidth="1" min="2" max="2" width="35.14"/>
    <col customWidth="1" min="3" max="3" width="21.57"/>
    <col customWidth="1" min="4" max="4" width="11.71"/>
    <col customWidth="1" min="5" max="5" width="3.29"/>
    <col customWidth="1" min="6" max="7" width="9.43"/>
    <col customWidth="1" min="8" max="8" width="28.86"/>
    <col customWidth="1" min="9" max="9" width="25.29"/>
    <col customWidth="1" min="10" max="10" width="19.71"/>
    <col customWidth="1" min="11" max="12" width="11.43"/>
    <col customWidth="1" min="13" max="13" width="12.0"/>
    <col customWidth="1" min="14" max="26" width="11.43"/>
  </cols>
  <sheetData>
    <row r="1">
      <c r="A1" s="36"/>
    </row>
    <row r="3">
      <c r="B3" s="106" t="s">
        <v>153</v>
      </c>
      <c r="F3" s="244" t="s">
        <v>296</v>
      </c>
      <c r="G3" s="245"/>
      <c r="H3" s="246">
        <v>20.0</v>
      </c>
    </row>
    <row r="4">
      <c r="B4" s="36" t="s">
        <v>48</v>
      </c>
      <c r="C4" s="36" t="s">
        <v>154</v>
      </c>
      <c r="D4" s="36" t="s">
        <v>152</v>
      </c>
      <c r="F4" s="36" t="s">
        <v>51</v>
      </c>
      <c r="H4" s="36" t="s">
        <v>223</v>
      </c>
      <c r="I4" s="36" t="s">
        <v>297</v>
      </c>
      <c r="J4" s="36" t="s">
        <v>298</v>
      </c>
      <c r="K4" s="36" t="s">
        <v>299</v>
      </c>
    </row>
    <row r="5">
      <c r="B5" s="107" t="s">
        <v>69</v>
      </c>
      <c r="C5" s="107" t="s">
        <v>70</v>
      </c>
      <c r="D5" s="107">
        <v>50.0</v>
      </c>
      <c r="E5" s="107" t="s">
        <v>71</v>
      </c>
      <c r="F5" s="107">
        <f>$H$3*'Datagrunnlag original'!A2</f>
        <v>200</v>
      </c>
      <c r="G5" s="107" t="s">
        <v>71</v>
      </c>
      <c r="H5" s="222" t="s">
        <v>72</v>
      </c>
      <c r="I5" s="222"/>
      <c r="J5" s="184"/>
      <c r="K5" s="184"/>
    </row>
    <row r="6">
      <c r="B6" s="107" t="s">
        <v>74</v>
      </c>
      <c r="C6" s="107" t="s">
        <v>70</v>
      </c>
      <c r="D6" s="107">
        <v>66.0</v>
      </c>
      <c r="E6" s="107" t="s">
        <v>71</v>
      </c>
      <c r="F6" s="107">
        <f>$H$3*'Datagrunnlag original'!A3</f>
        <v>264</v>
      </c>
      <c r="G6" s="107" t="s">
        <v>71</v>
      </c>
      <c r="H6" s="222" t="s">
        <v>75</v>
      </c>
      <c r="I6" s="222"/>
      <c r="J6" s="184"/>
      <c r="K6" s="184"/>
    </row>
    <row r="7">
      <c r="B7" s="107" t="s">
        <v>76</v>
      </c>
      <c r="C7" s="107" t="s">
        <v>70</v>
      </c>
      <c r="D7" s="107">
        <v>180.0</v>
      </c>
      <c r="E7" s="107" t="s">
        <v>71</v>
      </c>
      <c r="F7" s="107">
        <f>$H$3*'Datagrunnlag original'!A4</f>
        <v>720</v>
      </c>
      <c r="G7" s="107" t="s">
        <v>71</v>
      </c>
      <c r="H7" s="222" t="s">
        <v>76</v>
      </c>
      <c r="I7" s="222"/>
      <c r="J7" s="184"/>
      <c r="K7" s="184"/>
    </row>
    <row r="8">
      <c r="B8" s="107" t="s">
        <v>77</v>
      </c>
      <c r="C8" s="107" t="s">
        <v>78</v>
      </c>
      <c r="D8" s="107">
        <v>44.0</v>
      </c>
      <c r="E8" s="107" t="s">
        <v>71</v>
      </c>
      <c r="F8" s="107">
        <f>$H$3*'Datagrunnlag original'!A5</f>
        <v>176</v>
      </c>
      <c r="G8" s="107" t="s">
        <v>71</v>
      </c>
      <c r="H8" s="222" t="s">
        <v>79</v>
      </c>
      <c r="I8" s="222" t="s">
        <v>77</v>
      </c>
      <c r="J8" s="184"/>
      <c r="K8" s="184"/>
      <c r="R8" s="95"/>
    </row>
    <row r="9">
      <c r="B9" s="107" t="s">
        <v>80</v>
      </c>
      <c r="C9" s="107" t="s">
        <v>81</v>
      </c>
      <c r="D9" s="107">
        <v>14.0</v>
      </c>
      <c r="E9" s="107" t="s">
        <v>71</v>
      </c>
      <c r="F9" s="107">
        <f>$H$3*'Datagrunnlag original'!A6</f>
        <v>56</v>
      </c>
      <c r="G9" s="107" t="s">
        <v>71</v>
      </c>
      <c r="H9" s="222" t="s">
        <v>82</v>
      </c>
      <c r="I9" s="222"/>
      <c r="J9" s="184"/>
      <c r="K9" s="184"/>
      <c r="R9" s="95"/>
    </row>
    <row r="10">
      <c r="B10" s="107" t="s">
        <v>83</v>
      </c>
      <c r="C10" s="107" t="s">
        <v>84</v>
      </c>
      <c r="D10" s="107">
        <v>5.0</v>
      </c>
      <c r="E10" s="107" t="s">
        <v>71</v>
      </c>
      <c r="F10" s="107">
        <f>$H$3*'Datagrunnlag original'!A7</f>
        <v>20</v>
      </c>
      <c r="G10" s="107" t="s">
        <v>71</v>
      </c>
      <c r="H10" s="222" t="s">
        <v>85</v>
      </c>
      <c r="I10" s="222"/>
      <c r="J10" s="184"/>
      <c r="K10" s="184"/>
      <c r="R10" s="95"/>
    </row>
    <row r="11">
      <c r="B11" s="107" t="s">
        <v>86</v>
      </c>
      <c r="C11" s="107" t="s">
        <v>87</v>
      </c>
      <c r="D11" s="107">
        <v>450.0</v>
      </c>
      <c r="E11" s="107" t="s">
        <v>71</v>
      </c>
      <c r="F11" s="107">
        <f>$H$3*'Datagrunnlag original'!A8</f>
        <v>1800</v>
      </c>
      <c r="G11" s="107" t="s">
        <v>71</v>
      </c>
      <c r="H11" s="222" t="s">
        <v>300</v>
      </c>
      <c r="I11" s="184"/>
      <c r="J11" s="184"/>
      <c r="K11" s="184"/>
    </row>
    <row r="12">
      <c r="B12" s="107" t="s">
        <v>89</v>
      </c>
      <c r="C12" s="107" t="s">
        <v>90</v>
      </c>
      <c r="D12" s="107">
        <v>12.0</v>
      </c>
      <c r="E12" s="107" t="s">
        <v>71</v>
      </c>
      <c r="F12" s="107">
        <f>$H$3*'Datagrunnlag original'!A9</f>
        <v>48</v>
      </c>
      <c r="G12" s="107" t="s">
        <v>71</v>
      </c>
      <c r="H12" s="222" t="s">
        <v>91</v>
      </c>
      <c r="I12" s="184"/>
      <c r="J12" s="184"/>
      <c r="K12" s="184"/>
    </row>
    <row r="13">
      <c r="B13" s="107" t="s">
        <v>92</v>
      </c>
      <c r="C13" s="107" t="s">
        <v>93</v>
      </c>
      <c r="D13" s="107">
        <v>12.0</v>
      </c>
      <c r="E13" s="107" t="s">
        <v>71</v>
      </c>
      <c r="F13" s="107">
        <f>$H$3*'Datagrunnlag original'!A10</f>
        <v>48</v>
      </c>
      <c r="G13" s="107" t="s">
        <v>71</v>
      </c>
      <c r="H13" s="222" t="s">
        <v>94</v>
      </c>
      <c r="I13" s="184"/>
      <c r="J13" s="184"/>
      <c r="K13" s="184"/>
    </row>
    <row r="14">
      <c r="B14" s="107" t="s">
        <v>95</v>
      </c>
      <c r="C14" s="107" t="s">
        <v>96</v>
      </c>
      <c r="D14" s="107">
        <v>93.0</v>
      </c>
      <c r="E14" s="107" t="s">
        <v>71</v>
      </c>
      <c r="F14" s="107">
        <f>$H$3*'Datagrunnlag original'!A11</f>
        <v>372</v>
      </c>
      <c r="G14" s="107" t="s">
        <v>71</v>
      </c>
      <c r="H14" s="222" t="s">
        <v>97</v>
      </c>
      <c r="I14" s="184"/>
      <c r="J14" s="184"/>
      <c r="K14" s="184"/>
    </row>
    <row r="15">
      <c r="B15" s="107" t="s">
        <v>98</v>
      </c>
      <c r="C15" s="107" t="s">
        <v>99</v>
      </c>
      <c r="D15" s="107">
        <v>1.0</v>
      </c>
      <c r="E15" s="107" t="s">
        <v>71</v>
      </c>
      <c r="F15" s="107">
        <f>$H$3*'Datagrunnlag original'!A12</f>
        <v>4</v>
      </c>
      <c r="G15" s="107" t="s">
        <v>71</v>
      </c>
      <c r="H15" s="247" t="s">
        <v>301</v>
      </c>
      <c r="I15" s="247" t="s">
        <v>302</v>
      </c>
      <c r="J15" s="184"/>
      <c r="K15" s="184"/>
    </row>
    <row r="16">
      <c r="B16" s="107" t="s">
        <v>102</v>
      </c>
      <c r="D16" s="107">
        <v>12.0</v>
      </c>
      <c r="E16" s="107" t="s">
        <v>71</v>
      </c>
      <c r="F16" s="107">
        <f>$H$3*'Datagrunnlag original'!A13</f>
        <v>48</v>
      </c>
      <c r="G16" s="107" t="s">
        <v>71</v>
      </c>
      <c r="H16" s="247" t="s">
        <v>303</v>
      </c>
      <c r="I16" s="184"/>
      <c r="J16" s="184"/>
      <c r="K16" s="184"/>
    </row>
    <row r="17">
      <c r="B17" s="107" t="s">
        <v>104</v>
      </c>
      <c r="C17" s="107" t="s">
        <v>105</v>
      </c>
      <c r="D17" s="107">
        <v>24.0</v>
      </c>
      <c r="E17" s="107" t="s">
        <v>71</v>
      </c>
      <c r="F17" s="107">
        <f>$H$3*'Datagrunnlag original'!A14</f>
        <v>96</v>
      </c>
      <c r="G17" s="107" t="s">
        <v>71</v>
      </c>
      <c r="H17" s="222" t="s">
        <v>106</v>
      </c>
      <c r="I17" s="222" t="s">
        <v>304</v>
      </c>
      <c r="J17" s="184"/>
      <c r="K17" s="184"/>
    </row>
    <row r="18">
      <c r="B18" s="107" t="s">
        <v>107</v>
      </c>
      <c r="C18" s="107" t="s">
        <v>156</v>
      </c>
      <c r="D18" s="107">
        <v>2.0</v>
      </c>
      <c r="E18" s="107" t="s">
        <v>71</v>
      </c>
      <c r="F18" s="107">
        <f>'Datagrunnlag original'!A15*5</f>
        <v>2</v>
      </c>
      <c r="G18" s="107" t="s">
        <v>71</v>
      </c>
      <c r="H18" s="222" t="s">
        <v>112</v>
      </c>
      <c r="I18" s="222" t="s">
        <v>115</v>
      </c>
      <c r="J18" s="222" t="s">
        <v>117</v>
      </c>
      <c r="K18" s="222" t="s">
        <v>119</v>
      </c>
    </row>
    <row r="19">
      <c r="B19" s="107" t="s">
        <v>120</v>
      </c>
      <c r="C19" s="107" t="s">
        <v>121</v>
      </c>
      <c r="D19" s="107">
        <v>3.0</v>
      </c>
      <c r="E19" s="107" t="s">
        <v>71</v>
      </c>
      <c r="F19" s="107">
        <f>$H$3*'Datagrunnlag original'!A16</f>
        <v>12</v>
      </c>
      <c r="G19" s="107" t="s">
        <v>71</v>
      </c>
      <c r="H19" s="222" t="s">
        <v>120</v>
      </c>
      <c r="I19" s="184"/>
      <c r="J19" s="184"/>
      <c r="K19" s="184"/>
    </row>
    <row r="20">
      <c r="B20" s="107" t="s">
        <v>122</v>
      </c>
      <c r="D20" s="107">
        <v>1.0</v>
      </c>
      <c r="E20" s="107" t="s">
        <v>71</v>
      </c>
      <c r="F20" s="107">
        <f>$H$3*'Datagrunnlag original'!A17</f>
        <v>4</v>
      </c>
      <c r="G20" s="107" t="s">
        <v>71</v>
      </c>
      <c r="H20" s="222" t="s">
        <v>123</v>
      </c>
      <c r="I20" s="184"/>
      <c r="J20" s="184"/>
      <c r="K20" s="184"/>
    </row>
    <row r="21" ht="15.75" customHeight="1">
      <c r="B21" s="107" t="s">
        <v>124</v>
      </c>
      <c r="D21" s="107">
        <f>25*28.04</f>
        <v>701</v>
      </c>
      <c r="E21" s="107" t="s">
        <v>71</v>
      </c>
      <c r="F21" s="107">
        <f>$H$3*'Datagrunnlag original'!A18</f>
        <v>2804</v>
      </c>
      <c r="G21" s="107" t="s">
        <v>71</v>
      </c>
      <c r="H21" s="222" t="s">
        <v>125</v>
      </c>
      <c r="I21" s="184"/>
      <c r="J21" s="184"/>
      <c r="K21" s="184"/>
    </row>
    <row r="22" ht="15.75" customHeight="1">
      <c r="B22" s="107" t="s">
        <v>126</v>
      </c>
      <c r="D22" s="107">
        <v>20.0</v>
      </c>
      <c r="E22" s="107" t="s">
        <v>71</v>
      </c>
      <c r="F22" s="107">
        <f>$H$3*'Datagrunnlag original'!A19</f>
        <v>80</v>
      </c>
      <c r="G22" s="107" t="s">
        <v>71</v>
      </c>
      <c r="H22" s="222" t="s">
        <v>127</v>
      </c>
      <c r="I22" s="222" t="s">
        <v>305</v>
      </c>
      <c r="J22" s="184"/>
      <c r="K22" s="184"/>
    </row>
    <row r="23" ht="15.75" customHeight="1">
      <c r="B23" s="107" t="s">
        <v>128</v>
      </c>
      <c r="C23" s="107" t="s">
        <v>129</v>
      </c>
      <c r="D23" s="107">
        <v>1.0</v>
      </c>
      <c r="E23" s="107" t="s">
        <v>71</v>
      </c>
      <c r="F23" s="107">
        <f>$H$3*'Datagrunnlag original'!A20</f>
        <v>4</v>
      </c>
      <c r="G23" s="107" t="s">
        <v>71</v>
      </c>
      <c r="H23" s="247" t="s">
        <v>306</v>
      </c>
      <c r="I23" s="184"/>
      <c r="J23" s="184"/>
      <c r="K23" s="184"/>
    </row>
    <row r="24" ht="15.75" customHeight="1">
      <c r="B24" s="107" t="s">
        <v>133</v>
      </c>
      <c r="C24" s="107" t="s">
        <v>134</v>
      </c>
      <c r="D24" s="107">
        <v>24.0</v>
      </c>
      <c r="E24" s="107" t="s">
        <v>71</v>
      </c>
      <c r="F24" s="107">
        <f>5*'Datagrunnlag original'!A21</f>
        <v>24</v>
      </c>
      <c r="G24" s="107" t="s">
        <v>71</v>
      </c>
      <c r="H24" s="222" t="s">
        <v>135</v>
      </c>
      <c r="I24" s="184"/>
      <c r="J24" s="184"/>
      <c r="K24" s="184"/>
    </row>
    <row r="25" ht="15.75" customHeight="1">
      <c r="B25" s="107" t="s">
        <v>137</v>
      </c>
      <c r="C25" s="107" t="s">
        <v>159</v>
      </c>
      <c r="D25" s="107">
        <v>31.0</v>
      </c>
      <c r="E25" s="107" t="s">
        <v>71</v>
      </c>
      <c r="F25" s="107">
        <f>5*'Datagrunnlag original'!A22</f>
        <v>31</v>
      </c>
      <c r="G25" s="107" t="s">
        <v>71</v>
      </c>
      <c r="H25" s="222" t="s">
        <v>141</v>
      </c>
      <c r="I25" s="184"/>
      <c r="J25" s="184"/>
      <c r="K25" s="184"/>
      <c r="M25" s="248"/>
    </row>
    <row r="26" ht="15.75" customHeight="1">
      <c r="I26" s="249"/>
    </row>
    <row r="27" ht="15.75" customHeight="1">
      <c r="C27" s="250" t="s">
        <v>142</v>
      </c>
      <c r="D27" s="250">
        <f>SUM(D5:D26)</f>
        <v>1746</v>
      </c>
      <c r="E27" s="250" t="s">
        <v>71</v>
      </c>
      <c r="F27" s="250">
        <f>SUM(F5:F26)</f>
        <v>6813</v>
      </c>
      <c r="G27" s="250" t="s">
        <v>71</v>
      </c>
    </row>
    <row r="28" ht="15.75" customHeight="1"/>
    <row r="29" ht="15.75" customHeight="1">
      <c r="B29" s="106" t="s">
        <v>307</v>
      </c>
    </row>
    <row r="30" ht="15.75" customHeight="1">
      <c r="B30" s="36" t="s">
        <v>48</v>
      </c>
      <c r="C30" s="36" t="s">
        <v>154</v>
      </c>
      <c r="D30" s="36" t="s">
        <v>308</v>
      </c>
      <c r="E30" s="36"/>
      <c r="F30" s="36" t="s">
        <v>51</v>
      </c>
      <c r="G30" s="36"/>
      <c r="H30" s="36" t="s">
        <v>68</v>
      </c>
    </row>
    <row r="31" ht="15.75" customHeight="1">
      <c r="B31" s="107" t="s">
        <v>102</v>
      </c>
      <c r="D31" s="107">
        <v>1.0</v>
      </c>
      <c r="F31" s="107">
        <f>'Datagrunnlag original'!A25*'M-TETT original'!$H$3</f>
        <v>4</v>
      </c>
      <c r="G31" s="107" t="s">
        <v>71</v>
      </c>
      <c r="H31" s="251" t="s">
        <v>303</v>
      </c>
    </row>
    <row r="32" ht="15.75" customHeight="1">
      <c r="B32" s="107" t="s">
        <v>168</v>
      </c>
      <c r="D32" s="107">
        <v>25.0</v>
      </c>
      <c r="F32" s="107">
        <f>'Datagrunnlag original'!A26*'M-TETT original'!$H$3</f>
        <v>100</v>
      </c>
      <c r="G32" s="107" t="s">
        <v>71</v>
      </c>
      <c r="H32" s="249" t="s">
        <v>125</v>
      </c>
    </row>
    <row r="33" ht="15.75" customHeight="1">
      <c r="B33" s="107" t="s">
        <v>169</v>
      </c>
      <c r="D33" s="107">
        <v>0.1</v>
      </c>
      <c r="F33" s="107">
        <f>'Datagrunnlag original'!A27*'M-TETT original'!$H$3</f>
        <v>0.4</v>
      </c>
      <c r="G33" s="107" t="s">
        <v>71</v>
      </c>
      <c r="H33" s="249" t="s">
        <v>309</v>
      </c>
    </row>
    <row r="34" ht="15.75" customHeight="1">
      <c r="B34" s="107" t="s">
        <v>306</v>
      </c>
      <c r="D34" s="107">
        <v>1.0</v>
      </c>
      <c r="F34" s="107">
        <f>'Datagrunnlag original'!A28*'M-TETT original'!$H$3</f>
        <v>4</v>
      </c>
      <c r="G34" s="107" t="s">
        <v>71</v>
      </c>
      <c r="H34" s="251" t="s">
        <v>306</v>
      </c>
    </row>
    <row r="35" ht="15.75" customHeight="1">
      <c r="B35" s="107" t="s">
        <v>310</v>
      </c>
      <c r="D35" s="107">
        <v>25.0</v>
      </c>
      <c r="F35" s="107">
        <f>'Datagrunnlag original'!A29*'M-TETT original'!$H$3</f>
        <v>100</v>
      </c>
      <c r="G35" s="107" t="s">
        <v>71</v>
      </c>
      <c r="H35" s="251" t="s">
        <v>303</v>
      </c>
    </row>
    <row r="36" ht="15.75" customHeight="1">
      <c r="B36" s="107" t="s">
        <v>98</v>
      </c>
      <c r="C36" s="107" t="s">
        <v>99</v>
      </c>
      <c r="D36" s="107">
        <v>1.0</v>
      </c>
      <c r="E36" s="107" t="s">
        <v>71</v>
      </c>
      <c r="F36" s="107">
        <f>'Datagrunnlag original'!A30*'M-TETT original'!$H$3</f>
        <v>4</v>
      </c>
      <c r="G36" s="107" t="s">
        <v>71</v>
      </c>
      <c r="H36" s="251" t="s">
        <v>301</v>
      </c>
      <c r="I36" s="251" t="s">
        <v>302</v>
      </c>
    </row>
    <row r="37" ht="15.75" customHeight="1">
      <c r="B37" s="107" t="s">
        <v>77</v>
      </c>
      <c r="C37" s="107" t="s">
        <v>78</v>
      </c>
      <c r="D37" s="107">
        <v>2.0</v>
      </c>
      <c r="E37" s="107" t="s">
        <v>71</v>
      </c>
      <c r="F37" s="107">
        <f>'Datagrunnlag original'!A31*'M-TETT original'!$H$3</f>
        <v>8</v>
      </c>
      <c r="G37" s="107" t="s">
        <v>71</v>
      </c>
      <c r="H37" s="249" t="s">
        <v>79</v>
      </c>
      <c r="I37" s="249" t="s">
        <v>77</v>
      </c>
    </row>
    <row r="38" ht="15.75" customHeight="1"/>
    <row r="39" ht="15.75" customHeight="1">
      <c r="C39" s="250" t="s">
        <v>171</v>
      </c>
      <c r="D39" s="250">
        <f>SUM(D31:D37)</f>
        <v>55.1</v>
      </c>
      <c r="E39" s="250"/>
      <c r="F39" s="250">
        <f>SUM(F31:F38)</f>
        <v>220.4</v>
      </c>
      <c r="G39" s="250" t="s">
        <v>71</v>
      </c>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H5"/>
    <hyperlink r:id="rId2" ref="H6"/>
    <hyperlink r:id="rId3" ref="H7"/>
    <hyperlink r:id="rId4" ref="H8"/>
    <hyperlink r:id="rId5" ref="I8"/>
    <hyperlink r:id="rId6" ref="H9"/>
    <hyperlink r:id="rId7" ref="H10"/>
    <hyperlink r:id="rId8" ref="H11"/>
    <hyperlink r:id="rId9" ref="H12"/>
    <hyperlink r:id="rId10" ref="H13"/>
    <hyperlink r:id="rId11" ref="H14"/>
    <hyperlink r:id="rId12" ref="H17"/>
    <hyperlink r:id="rId13" ref="I17"/>
    <hyperlink r:id="rId14" ref="H18"/>
    <hyperlink r:id="rId15" ref="I18"/>
    <hyperlink r:id="rId16" ref="J18"/>
    <hyperlink r:id="rId17" ref="K18"/>
    <hyperlink r:id="rId18" ref="H19"/>
    <hyperlink r:id="rId19" ref="H20"/>
    <hyperlink r:id="rId20" ref="H21"/>
    <hyperlink r:id="rId21" ref="H22"/>
    <hyperlink r:id="rId22" ref="I22"/>
    <hyperlink r:id="rId23" ref="H24"/>
    <hyperlink r:id="rId24" ref="H25"/>
    <hyperlink r:id="rId25" ref="H32"/>
    <hyperlink r:id="rId26" ref="H33"/>
    <hyperlink r:id="rId27" ref="H37"/>
    <hyperlink r:id="rId28" ref="I37"/>
  </hyperlinks>
  <printOptions/>
  <pageMargins bottom="0.75" footer="0.0" header="0.0" left="0.7" right="0.7" top="0.75"/>
  <pageSetup orientation="landscape"/>
  <drawing r:id="rId29"/>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1.43"/>
  </cols>
  <sheetData>
    <row r="1">
      <c r="A1" s="107" t="s">
        <v>12</v>
      </c>
    </row>
    <row r="2">
      <c r="A2" s="107">
        <f>'M-TETT original'!D5/5</f>
        <v>10</v>
      </c>
    </row>
    <row r="3">
      <c r="A3" s="107">
        <f>'M-TETT original'!D6/5</f>
        <v>13.2</v>
      </c>
    </row>
    <row r="4">
      <c r="A4" s="107">
        <f>'M-TETT original'!D7/5</f>
        <v>36</v>
      </c>
    </row>
    <row r="5">
      <c r="A5" s="107">
        <f>'M-TETT original'!D8/5</f>
        <v>8.8</v>
      </c>
    </row>
    <row r="6">
      <c r="A6" s="107">
        <f>'M-TETT original'!D9/5</f>
        <v>2.8</v>
      </c>
    </row>
    <row r="7">
      <c r="A7" s="107">
        <f>'M-TETT original'!D10/5</f>
        <v>1</v>
      </c>
    </row>
    <row r="8">
      <c r="A8" s="107">
        <f>'M-TETT original'!D11/5</f>
        <v>90</v>
      </c>
    </row>
    <row r="9">
      <c r="A9" s="107">
        <f>'M-TETT original'!D12/5</f>
        <v>2.4</v>
      </c>
    </row>
    <row r="10">
      <c r="A10" s="107">
        <f>'M-TETT original'!D13/5</f>
        <v>2.4</v>
      </c>
    </row>
    <row r="11">
      <c r="A11" s="107">
        <f>'M-TETT original'!D14/5</f>
        <v>18.6</v>
      </c>
    </row>
    <row r="12">
      <c r="A12" s="107">
        <f>'M-TETT original'!D15/5</f>
        <v>0.2</v>
      </c>
    </row>
    <row r="13">
      <c r="A13" s="107">
        <f>'M-TETT original'!D16/5</f>
        <v>2.4</v>
      </c>
    </row>
    <row r="14">
      <c r="A14" s="107">
        <f>'M-TETT original'!D17/5</f>
        <v>4.8</v>
      </c>
    </row>
    <row r="15">
      <c r="A15" s="107">
        <f>'M-TETT original'!D18/5</f>
        <v>0.4</v>
      </c>
    </row>
    <row r="16">
      <c r="A16" s="107">
        <f>'M-TETT original'!D19/5</f>
        <v>0.6</v>
      </c>
    </row>
    <row r="17">
      <c r="A17" s="107">
        <f>'M-TETT original'!D20/5</f>
        <v>0.2</v>
      </c>
    </row>
    <row r="18">
      <c r="A18" s="107">
        <f>'M-TETT original'!D21/5</f>
        <v>140.2</v>
      </c>
    </row>
    <row r="19">
      <c r="A19" s="107">
        <f>'M-TETT original'!D22/5</f>
        <v>4</v>
      </c>
    </row>
    <row r="20">
      <c r="A20" s="107">
        <f>'M-TETT original'!D23/5</f>
        <v>0.2</v>
      </c>
    </row>
    <row r="21" ht="15.75" customHeight="1">
      <c r="A21" s="107">
        <f>'M-TETT original'!D24/5</f>
        <v>4.8</v>
      </c>
    </row>
    <row r="22" ht="15.75" customHeight="1">
      <c r="A22" s="107">
        <f>'M-TETT original'!D25/5</f>
        <v>6.2</v>
      </c>
    </row>
    <row r="23" ht="15.75" customHeight="1"/>
    <row r="24" ht="15.75" customHeight="1"/>
    <row r="25" ht="15.75" customHeight="1">
      <c r="A25" s="107">
        <f>'M-TETT original'!D31/5</f>
        <v>0.2</v>
      </c>
    </row>
    <row r="26" ht="15.75" customHeight="1">
      <c r="A26" s="107">
        <f>'M-TETT original'!D32/5</f>
        <v>5</v>
      </c>
    </row>
    <row r="27" ht="15.75" customHeight="1">
      <c r="A27" s="107">
        <f>'M-TETT original'!D33/5</f>
        <v>0.02</v>
      </c>
    </row>
    <row r="28" ht="15.75" customHeight="1">
      <c r="A28" s="107">
        <f>'M-TETT original'!D34/5</f>
        <v>0.2</v>
      </c>
    </row>
    <row r="29" ht="15.75" customHeight="1">
      <c r="A29" s="107">
        <f>'M-TETT original'!D35/5</f>
        <v>5</v>
      </c>
    </row>
    <row r="30" ht="15.75" customHeight="1">
      <c r="A30" s="107">
        <f>'M-TETT original'!D36/5</f>
        <v>0.2</v>
      </c>
    </row>
    <row r="31" ht="15.75" customHeight="1">
      <c r="A31" s="107">
        <f>'M-TETT original'!D37/5</f>
        <v>0.4</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43"/>
    <col customWidth="1" min="2" max="2" width="35.14"/>
    <col customWidth="1" min="3" max="3" width="21.57"/>
    <col customWidth="1" min="4" max="4" width="11.71"/>
    <col customWidth="1" min="5" max="5" width="3.29"/>
    <col customWidth="1" min="6" max="26" width="11.43"/>
  </cols>
  <sheetData>
    <row r="1">
      <c r="B1" s="106" t="s">
        <v>153</v>
      </c>
    </row>
    <row r="2">
      <c r="B2" s="36" t="s">
        <v>48</v>
      </c>
      <c r="C2" s="36" t="s">
        <v>154</v>
      </c>
      <c r="D2" s="36" t="s">
        <v>155</v>
      </c>
      <c r="F2" s="36" t="s">
        <v>311</v>
      </c>
    </row>
    <row r="3">
      <c r="B3" s="107" t="s">
        <v>69</v>
      </c>
      <c r="C3" s="107" t="s">
        <v>70</v>
      </c>
      <c r="D3" s="107">
        <v>50.0</v>
      </c>
      <c r="E3" s="107" t="s">
        <v>71</v>
      </c>
    </row>
    <row r="4">
      <c r="B4" s="107" t="s">
        <v>76</v>
      </c>
      <c r="C4" s="107" t="s">
        <v>70</v>
      </c>
      <c r="D4" s="107">
        <v>180.0</v>
      </c>
      <c r="E4" s="107" t="s">
        <v>71</v>
      </c>
    </row>
    <row r="5">
      <c r="B5" s="107" t="s">
        <v>77</v>
      </c>
      <c r="C5" s="107" t="s">
        <v>78</v>
      </c>
      <c r="D5" s="107">
        <v>44.0</v>
      </c>
      <c r="E5" s="107" t="s">
        <v>71</v>
      </c>
      <c r="Q5" s="95"/>
    </row>
    <row r="6">
      <c r="B6" s="107" t="s">
        <v>86</v>
      </c>
      <c r="C6" s="107" t="s">
        <v>87</v>
      </c>
      <c r="D6" s="107">
        <v>450.0</v>
      </c>
      <c r="E6" s="107" t="s">
        <v>71</v>
      </c>
    </row>
    <row r="7">
      <c r="B7" s="107" t="s">
        <v>89</v>
      </c>
      <c r="C7" s="107" t="s">
        <v>90</v>
      </c>
      <c r="D7" s="107">
        <v>12.0</v>
      </c>
      <c r="E7" s="107" t="s">
        <v>71</v>
      </c>
    </row>
    <row r="8">
      <c r="B8" s="107" t="s">
        <v>92</v>
      </c>
      <c r="C8" s="107" t="s">
        <v>93</v>
      </c>
      <c r="D8" s="107">
        <v>12.0</v>
      </c>
      <c r="E8" s="107" t="s">
        <v>71</v>
      </c>
    </row>
    <row r="9">
      <c r="B9" s="107" t="s">
        <v>95</v>
      </c>
      <c r="C9" s="107" t="s">
        <v>96</v>
      </c>
      <c r="D9" s="107">
        <v>93.0</v>
      </c>
      <c r="E9" s="107" t="s">
        <v>71</v>
      </c>
    </row>
    <row r="10">
      <c r="B10" s="107" t="s">
        <v>312</v>
      </c>
      <c r="D10" s="107">
        <v>12.0</v>
      </c>
      <c r="E10" s="107" t="s">
        <v>71</v>
      </c>
    </row>
    <row r="11">
      <c r="B11" s="107" t="s">
        <v>104</v>
      </c>
      <c r="C11" s="107" t="s">
        <v>105</v>
      </c>
      <c r="D11" s="107">
        <v>24.0</v>
      </c>
      <c r="E11" s="107" t="s">
        <v>71</v>
      </c>
    </row>
    <row r="12">
      <c r="B12" s="107" t="s">
        <v>107</v>
      </c>
      <c r="C12" s="107" t="s">
        <v>156</v>
      </c>
      <c r="D12" s="107">
        <v>2.0</v>
      </c>
      <c r="E12" s="107" t="s">
        <v>71</v>
      </c>
    </row>
    <row r="13">
      <c r="B13" s="107" t="s">
        <v>120</v>
      </c>
      <c r="C13" s="107" t="s">
        <v>121</v>
      </c>
      <c r="D13" s="107">
        <v>3.0</v>
      </c>
      <c r="E13" s="107" t="s">
        <v>71</v>
      </c>
    </row>
    <row r="14">
      <c r="B14" s="107" t="s">
        <v>122</v>
      </c>
      <c r="D14" s="107">
        <v>1.0</v>
      </c>
      <c r="E14" s="107" t="s">
        <v>71</v>
      </c>
    </row>
    <row r="15">
      <c r="B15" s="107" t="s">
        <v>124</v>
      </c>
      <c r="D15" s="107">
        <f>25*28.04</f>
        <v>701</v>
      </c>
      <c r="E15" s="107" t="s">
        <v>71</v>
      </c>
    </row>
    <row r="16">
      <c r="B16" s="107" t="s">
        <v>126</v>
      </c>
      <c r="D16" s="107">
        <v>20.0</v>
      </c>
      <c r="E16" s="107" t="s">
        <v>71</v>
      </c>
    </row>
    <row r="17">
      <c r="B17" s="107" t="s">
        <v>128</v>
      </c>
      <c r="C17" s="107" t="s">
        <v>129</v>
      </c>
      <c r="D17" s="107">
        <v>1.0</v>
      </c>
      <c r="E17" s="107" t="s">
        <v>71</v>
      </c>
    </row>
    <row r="18">
      <c r="B18" s="107" t="s">
        <v>131</v>
      </c>
      <c r="C18" s="107" t="s">
        <v>157</v>
      </c>
      <c r="D18" s="107">
        <v>17.0</v>
      </c>
      <c r="E18" s="107" t="s">
        <v>71</v>
      </c>
    </row>
    <row r="19">
      <c r="B19" s="107" t="s">
        <v>133</v>
      </c>
      <c r="C19" s="107" t="s">
        <v>134</v>
      </c>
      <c r="D19" s="107">
        <v>24.0</v>
      </c>
      <c r="E19" s="107" t="s">
        <v>71</v>
      </c>
    </row>
    <row r="20">
      <c r="B20" s="107" t="s">
        <v>137</v>
      </c>
      <c r="C20" s="107" t="s">
        <v>159</v>
      </c>
      <c r="D20" s="107">
        <v>31.0</v>
      </c>
      <c r="E20" s="107" t="s">
        <v>71</v>
      </c>
    </row>
    <row r="21" ht="15.75" customHeight="1">
      <c r="B21" s="107" t="s">
        <v>139</v>
      </c>
      <c r="C21" s="107" t="s">
        <v>140</v>
      </c>
      <c r="D21" s="107">
        <v>35.0</v>
      </c>
      <c r="E21" s="107" t="s">
        <v>71</v>
      </c>
    </row>
    <row r="22" ht="15.75" customHeight="1">
      <c r="C22" s="107" t="s">
        <v>142</v>
      </c>
      <c r="D22" s="107">
        <f>SUM(D3:D21)</f>
        <v>1712</v>
      </c>
      <c r="E22" s="107" t="s">
        <v>71</v>
      </c>
    </row>
    <row r="23" ht="15.75" customHeight="1"/>
    <row r="24" ht="15.75" customHeight="1"/>
    <row r="25" ht="15.75" customHeight="1"/>
    <row r="26" ht="15.75" customHeight="1"/>
    <row r="27" ht="15.75" customHeight="1"/>
    <row r="28" ht="15.75" customHeight="1">
      <c r="B28" s="106" t="s">
        <v>307</v>
      </c>
    </row>
    <row r="29" ht="15.75" customHeight="1">
      <c r="B29" s="36" t="s">
        <v>48</v>
      </c>
      <c r="C29" s="36" t="s">
        <v>154</v>
      </c>
      <c r="D29" s="36" t="s">
        <v>155</v>
      </c>
      <c r="E29" s="36"/>
      <c r="F29" s="36" t="s">
        <v>68</v>
      </c>
    </row>
    <row r="30" ht="15.75" customHeight="1">
      <c r="B30" s="107" t="s">
        <v>102</v>
      </c>
      <c r="D30" s="107">
        <v>1.0</v>
      </c>
    </row>
    <row r="31" ht="15.75" customHeight="1">
      <c r="B31" s="107" t="s">
        <v>168</v>
      </c>
      <c r="D31" s="107">
        <v>25.0</v>
      </c>
    </row>
    <row r="32" ht="15.75" customHeight="1">
      <c r="B32" s="107" t="s">
        <v>169</v>
      </c>
      <c r="D32" s="107">
        <v>0.1</v>
      </c>
    </row>
    <row r="33" ht="15.75" customHeight="1">
      <c r="B33" s="107" t="s">
        <v>306</v>
      </c>
      <c r="D33" s="107">
        <v>1.0</v>
      </c>
    </row>
    <row r="34" ht="15.75" customHeight="1">
      <c r="B34" s="107" t="s">
        <v>310</v>
      </c>
      <c r="D34" s="107">
        <v>25.0</v>
      </c>
    </row>
    <row r="35" ht="15.75" customHeight="1">
      <c r="C35" s="107" t="s">
        <v>171</v>
      </c>
      <c r="D35" s="107">
        <f>SUM(D30:D34)</f>
        <v>52.1</v>
      </c>
    </row>
    <row r="36" ht="15.75" customHeight="1"/>
    <row r="37" ht="15.75" customHeight="1">
      <c r="B37" s="107" t="s">
        <v>313</v>
      </c>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6.14"/>
    <col customWidth="1" min="2" max="5" width="11.43"/>
    <col customWidth="1" min="6" max="6" width="12.86"/>
    <col customWidth="1" min="7" max="26" width="11.43"/>
  </cols>
  <sheetData>
    <row r="1">
      <c r="A1" s="107" t="s">
        <v>314</v>
      </c>
    </row>
    <row r="3">
      <c r="A3" s="107" t="s">
        <v>315</v>
      </c>
    </row>
    <row r="4">
      <c r="A4" s="107" t="s">
        <v>316</v>
      </c>
    </row>
    <row r="5">
      <c r="A5" s="107" t="s">
        <v>317</v>
      </c>
    </row>
    <row r="6">
      <c r="A6" s="107" t="s">
        <v>318</v>
      </c>
    </row>
    <row r="7">
      <c r="A7" s="107" t="s">
        <v>319</v>
      </c>
    </row>
    <row r="9">
      <c r="B9" s="107" t="s">
        <v>195</v>
      </c>
      <c r="C9" s="107" t="s">
        <v>196</v>
      </c>
      <c r="D9" s="107" t="s">
        <v>197</v>
      </c>
      <c r="E9" s="107" t="s">
        <v>320</v>
      </c>
      <c r="F9" s="107" t="s">
        <v>321</v>
      </c>
    </row>
    <row r="10">
      <c r="A10" s="107" t="s">
        <v>322</v>
      </c>
      <c r="B10" s="107">
        <v>40.0</v>
      </c>
      <c r="C10" s="107">
        <v>3.0</v>
      </c>
      <c r="D10" s="107">
        <v>1.0</v>
      </c>
      <c r="E10" s="107">
        <v>1.47E-4</v>
      </c>
      <c r="F10" s="107">
        <f t="shared" ref="F10:F13" si="1">B10*C10*D10*E10</f>
        <v>0.01764</v>
      </c>
    </row>
    <row r="11">
      <c r="A11" s="107" t="s">
        <v>323</v>
      </c>
      <c r="B11" s="107">
        <v>40.0</v>
      </c>
      <c r="C11" s="107">
        <v>1.0</v>
      </c>
      <c r="D11" s="107">
        <v>1.0</v>
      </c>
      <c r="E11" s="107">
        <v>1.47E-4</v>
      </c>
      <c r="F11" s="107">
        <f t="shared" si="1"/>
        <v>0.00588</v>
      </c>
    </row>
    <row r="12">
      <c r="A12" s="107" t="s">
        <v>324</v>
      </c>
      <c r="B12" s="107">
        <v>40.0</v>
      </c>
      <c r="C12" s="107">
        <v>4.0</v>
      </c>
      <c r="D12" s="107">
        <v>1.0</v>
      </c>
      <c r="E12" s="107">
        <v>1.47E-4</v>
      </c>
      <c r="F12" s="107">
        <f t="shared" si="1"/>
        <v>0.02352</v>
      </c>
    </row>
    <row r="13">
      <c r="A13" s="107" t="s">
        <v>325</v>
      </c>
      <c r="B13" s="107">
        <v>40.0</v>
      </c>
      <c r="C13" s="107">
        <v>20.0</v>
      </c>
      <c r="D13" s="107">
        <v>1.5</v>
      </c>
      <c r="E13" s="107">
        <v>1.47E-4</v>
      </c>
      <c r="F13" s="107">
        <f t="shared" si="1"/>
        <v>0.1764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2023-09-19T07:58:20Z</dcterms:created>
  <dc:creator>Thomas Torp Høisæter</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0x010100C33075B636F20B49878EA740AD63489B</vt:lpwstr>
  </property>
  <property fmtid="{D5CDD505-2E9C-101B-9397-08002B2CF9AE}" pid="3" name="MediaServiceImageTags">
    <vt:lpwstr/>
  </property>
</Properties>
</file>